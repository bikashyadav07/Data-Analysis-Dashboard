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91934\Downloads\"/>
    </mc:Choice>
  </mc:AlternateContent>
  <xr:revisionPtr revIDLastSave="0" documentId="13_ncr:1_{6083FAD9-E2DC-40D7-A7F7-B1934675D9CB}" xr6:coauthVersionLast="36" xr6:coauthVersionMax="47" xr10:uidLastSave="{00000000-0000-0000-0000-000000000000}"/>
  <bookViews>
    <workbookView xWindow="-108" yWindow="-108" windowWidth="23256" windowHeight="12456" activeTab="3" xr2:uid="{00000000-000D-0000-FFFF-FFFF00000000}"/>
  </bookViews>
  <sheets>
    <sheet name="bike_buyers" sheetId="1" r:id="rId1"/>
    <sheet name="dataset" sheetId="2" r:id="rId2"/>
    <sheet name="PIVOT TABLES" sheetId="6" r:id="rId3"/>
    <sheet name="DASHBOARD" sheetId="9" r:id="rId4"/>
  </sheets>
  <definedNames>
    <definedName name="_xlnm._FilterDatabase" localSheetId="0" hidden="1">bike_buyers!$A$1:$M$1001</definedName>
    <definedName name="Slicer_Marital_status">#N/A</definedName>
    <definedName name="Slicer_Occupation">#N/A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<sst xmlns="http://schemas.openxmlformats.org/spreadsheetml/2006/main" count="16528" uniqueCount="58">
  <si>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</si>
  <si>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</si>
  <si>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</si>
  <si>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</si>
  <si>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</si>
  <si>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</si>
  <si>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</si>
  <si>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</si>
  <si>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</si>
  <si>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</si>
  <si>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</si>
  <si>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</si>
  <si>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</si>
  <si>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</si>
  <si>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</si>
  <si>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</si>
  <si>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</si>
  <si>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</si>
  <si>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</si>
  <si>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</si>
  <si>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</si>
  <si>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</si>
  <si>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</si>
  <si>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</si>
  <si>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</si>
  <si>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</si>
  <si>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</si>
  <si>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</si>
  <si>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</si>
  <si>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</si>
  <si>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</si>
  <si>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</si>
  <si>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</si>
  <si>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</si>
  <si>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</si>
  <si>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</si>
  <si>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Age Brackets</t>
  </si>
  <si>
    <t>Married</t>
  </si>
  <si>
    <t>Single</t>
  </si>
  <si>
    <t>Male</t>
  </si>
  <si>
    <t>Female</t>
  </si>
  <si>
    <t>Row Labels</t>
  </si>
  <si>
    <t>Grand Total</t>
  </si>
  <si>
    <t>Marital status</t>
  </si>
  <si>
    <t>(blank)</t>
  </si>
  <si>
    <t>Average of Income</t>
  </si>
  <si>
    <t>Column Labels</t>
  </si>
  <si>
    <t>Middle Age</t>
  </si>
  <si>
    <t>OLD</t>
  </si>
  <si>
    <t>Count of Purchased Bike</t>
  </si>
  <si>
    <t>more than 10 miles</t>
  </si>
  <si>
    <t>values to display</t>
  </si>
  <si>
    <t>Total Customers → 1000</t>
  </si>
  <si>
    <t>Bike Buyers → 480</t>
  </si>
  <si>
    <t>Conversion → 48%</t>
  </si>
  <si>
    <t>Avg Income → 56,000</t>
  </si>
  <si>
    <t>percentage of ID</t>
  </si>
  <si>
    <t>WHAT WILL BW BEST SLICER COLUMS IN THE ANOVE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</si>
</sst>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9"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INCOME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for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TABLES'!$A$5:$A$8</c:f>
              <c:strCache>
                <c:ptCount val="3"/>
                <c:pt idx="0">
                  <c:v>Female</c:v>
                </c:pt>
                <c:pt idx="1">
                  <c:v>Male</c:v>
                </c:pt>
                <c:pt idx="2">
                  <c:v>(blank)</c:v>
                </c:pt>
              </c:strCache>
            </c:strRef>
          </c:cat>
          <c:val>
            <c:numRef>
              <c:f>'PIVOT TABLES'!$B$5:$B$8</c:f>
              <c:numCache>
                <c:formatCode>0.00</c:formatCode>
                <c:ptCount val="3"/>
                <c:pt idx="0">
                  <c:v>53449.612403100778</c:v>
                </c:pt>
                <c:pt idx="1">
                  <c:v>56520.146520146518</c:v>
                </c:pt>
              </c:numCache>
            </c:numRef>
          </c:val>
          <c:extLst>
            <c:ext xmlns:c16="http://schemas.microsoft.com/office/drawing/2014/chart" uri="{C3380CC4-5D6E-409C-BE32-E72D297353CC}">
              <c16:uniqueId val="{00000000-3F68-4FE8-B351-67156BA7E027}"/>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TABLES'!$A$5:$A$8</c:f>
              <c:strCache>
                <c:ptCount val="3"/>
                <c:pt idx="0">
                  <c:v>Female</c:v>
                </c:pt>
                <c:pt idx="1">
                  <c:v>Male</c:v>
                </c:pt>
                <c:pt idx="2">
                  <c:v>(blank)</c:v>
                </c:pt>
              </c:strCache>
            </c:strRef>
          </c:cat>
          <c:val>
            <c:numRef>
              <c:f>'PIVOT TABLES'!$C$5:$C$8</c:f>
              <c:numCache>
                <c:formatCode>0.00</c:formatCode>
                <c:ptCount val="3"/>
                <c:pt idx="0">
                  <c:v>55267.489711934155</c:v>
                </c:pt>
                <c:pt idx="1">
                  <c:v>59603.174603174601</c:v>
                </c:pt>
              </c:numCache>
            </c:numRef>
          </c:val>
          <c:extLst>
            <c:ext xmlns:c16="http://schemas.microsoft.com/office/drawing/2014/chart" uri="{C3380CC4-5D6E-409C-BE32-E72D297353CC}">
              <c16:uniqueId val="{00000001-3F68-4FE8-B351-67156BA7E027}"/>
            </c:ext>
          </c:extLst>
        </c:ser>
        <c:ser>
          <c:idx val="2"/>
          <c:order val="2"/>
          <c:tx>
            <c:strRef>
              <c:f>'PIVOT TABLES'!$D$3:$D$4</c:f>
              <c:strCache>
                <c:ptCount val="1"/>
                <c:pt idx="0">
                  <c:v>(blank)</c:v>
                </c:pt>
              </c:strCache>
            </c:strRef>
          </c:tx>
          <c:spPr>
            <a:solidFill>
              <a:schemeClr val="accent3"/>
            </a:solidFill>
            <a:ln>
              <a:noFill/>
            </a:ln>
            <a:effectLst/>
          </c:spPr>
          <c:invertIfNegative val="0"/>
          <c:cat>
            <c:strRef>
              <c:f>'PIVOT TABLES'!$A$5:$A$8</c:f>
              <c:strCache>
                <c:ptCount val="3"/>
                <c:pt idx="0">
                  <c:v>Female</c:v>
                </c:pt>
                <c:pt idx="1">
                  <c:v>Male</c:v>
                </c:pt>
                <c:pt idx="2">
                  <c:v>(blank)</c:v>
                </c:pt>
              </c:strCache>
            </c:strRef>
          </c:cat>
          <c:val>
            <c:numRef>
              <c:f>'PIVOT TABLES'!$D$5:$D$8</c:f>
              <c:numCache>
                <c:formatCode>0.00</c:formatCode>
                <c:ptCount val="3"/>
              </c:numCache>
            </c:numRef>
          </c:val>
          <c:extLst>
            <c:ext xmlns:c16="http://schemas.microsoft.com/office/drawing/2014/chart" uri="{C3380CC4-5D6E-409C-BE32-E72D297353CC}">
              <c16:uniqueId val="{00000002-3F68-4FE8-B351-67156BA7E027}"/>
            </c:ext>
          </c:extLst>
        </c:ser>
        <c:dLbls>
          <c:showLegendKey val="0"/>
          <c:showVal val="0"/>
          <c:showCatName val="0"/>
          <c:showSerName val="0"/>
          <c:showPercent val="0"/>
          <c:showBubbleSize val="0"/>
        </c:dLbls>
        <c:gapWidth val="219"/>
        <c:overlap val="-27"/>
        <c:axId val="1362229760"/>
        <c:axId val="1366272640"/>
      </c:barChart>
      <c:catAx>
        <c:axId val="1362229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272640"/>
        <c:crosses val="autoZero"/>
        <c:auto val="1"/>
        <c:lblAlgn val="ctr"/>
        <c:lblOffset val="100"/>
        <c:noMultiLvlLbl val="0"/>
      </c:catAx>
      <c:valAx>
        <c:axId val="1366272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Average</a:t>
                </a:r>
                <a:r>
                  <a:rPr lang="en-IN" baseline="0"/>
                  <a:t> Income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PURCHASE</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TABLES'!$B$22:$B$23</c:f>
              <c:strCache>
                <c:ptCount val="1"/>
                <c:pt idx="0">
                  <c:v>No</c:v>
                </c:pt>
              </c:strCache>
            </c:strRef>
          </c:tx>
          <c:spPr>
            <a:ln w="28575" cap="rnd">
              <a:solidFill>
                <a:schemeClr val="accent1"/>
              </a:solidFill>
              <a:round/>
            </a:ln>
            <a:effectLst/>
          </c:spPr>
          <c:marker>
            <c:symbol val="none"/>
          </c:marker>
          <c:cat>
            <c:strRef>
              <c:f>'PIVOT TABLES'!$A$24:$A$29</c:f>
              <c:strCache>
                <c:ptCount val="5"/>
                <c:pt idx="0">
                  <c:v>0-1 Miles</c:v>
                </c:pt>
                <c:pt idx="1">
                  <c:v>1-2 Miles</c:v>
                </c:pt>
                <c:pt idx="2">
                  <c:v>2-5 Miles</c:v>
                </c:pt>
                <c:pt idx="3">
                  <c:v>5-10 Miles</c:v>
                </c:pt>
                <c:pt idx="4">
                  <c:v>more than 10 miles</c:v>
                </c:pt>
              </c:strCache>
            </c:strRef>
          </c:cat>
          <c:val>
            <c:numRef>
              <c:f>'PIVOT TABLES'!$B$24:$B$29</c:f>
              <c:numCache>
                <c:formatCode>General</c:formatCode>
                <c:ptCount val="5"/>
                <c:pt idx="0">
                  <c:v>3</c:v>
                </c:pt>
                <c:pt idx="1">
                  <c:v>5</c:v>
                </c:pt>
                <c:pt idx="2">
                  <c:v>1</c:v>
                </c:pt>
                <c:pt idx="3">
                  <c:v>4</c:v>
                </c:pt>
                <c:pt idx="4">
                  <c:v>7</c:v>
                </c:pt>
              </c:numCache>
            </c:numRef>
          </c:val>
          <c:smooth val="0"/>
          <c:extLst>
            <c:ext xmlns:c16="http://schemas.microsoft.com/office/drawing/2014/chart" uri="{C3380CC4-5D6E-409C-BE32-E72D297353CC}">
              <c16:uniqueId val="{00000000-C8DC-4CDB-95D7-D75BE6E87979}"/>
            </c:ext>
          </c:extLst>
        </c:ser>
        <c:ser>
          <c:idx val="1"/>
          <c:order val="1"/>
          <c:tx>
            <c:strRef>
              <c:f>'PIVOT TABLES'!$C$22:$C$23</c:f>
              <c:strCache>
                <c:ptCount val="1"/>
                <c:pt idx="0">
                  <c:v>Yes</c:v>
                </c:pt>
              </c:strCache>
            </c:strRef>
          </c:tx>
          <c:spPr>
            <a:ln w="28575" cap="rnd">
              <a:solidFill>
                <a:schemeClr val="accent2"/>
              </a:solidFill>
              <a:round/>
            </a:ln>
            <a:effectLst/>
          </c:spPr>
          <c:marker>
            <c:symbol val="none"/>
          </c:marker>
          <c:cat>
            <c:strRef>
              <c:f>'PIVOT TABLES'!$A$24:$A$29</c:f>
              <c:strCache>
                <c:ptCount val="5"/>
                <c:pt idx="0">
                  <c:v>0-1 Miles</c:v>
                </c:pt>
                <c:pt idx="1">
                  <c:v>1-2 Miles</c:v>
                </c:pt>
                <c:pt idx="2">
                  <c:v>2-5 Miles</c:v>
                </c:pt>
                <c:pt idx="3">
                  <c:v>5-10 Miles</c:v>
                </c:pt>
                <c:pt idx="4">
                  <c:v>more than 10 miles</c:v>
                </c:pt>
              </c:strCache>
            </c:strRef>
          </c:cat>
          <c:val>
            <c:numRef>
              <c:f>'PIVOT TABLES'!$C$24:$C$29</c:f>
              <c:numCache>
                <c:formatCode>General</c:formatCode>
                <c:ptCount val="5"/>
                <c:pt idx="0">
                  <c:v>6</c:v>
                </c:pt>
                <c:pt idx="1">
                  <c:v>5</c:v>
                </c:pt>
                <c:pt idx="2">
                  <c:v>5</c:v>
                </c:pt>
                <c:pt idx="3">
                  <c:v>6</c:v>
                </c:pt>
                <c:pt idx="4">
                  <c:v>5</c:v>
                </c:pt>
              </c:numCache>
            </c:numRef>
          </c:val>
          <c:smooth val="0"/>
          <c:extLst>
            <c:ext xmlns:c16="http://schemas.microsoft.com/office/drawing/2014/chart" uri="{C3380CC4-5D6E-409C-BE32-E72D297353CC}">
              <c16:uniqueId val="{00000000-953E-4C43-B086-03A24D6EB54B}"/>
            </c:ext>
          </c:extLst>
        </c:ser>
        <c:dLbls>
          <c:showLegendKey val="0"/>
          <c:showVal val="0"/>
          <c:showCatName val="0"/>
          <c:showSerName val="0"/>
          <c:showPercent val="0"/>
          <c:showBubbleSize val="0"/>
        </c:dLbls>
        <c:smooth val="0"/>
        <c:axId val="1510727584"/>
        <c:axId val="1372589536"/>
      </c:lineChart>
      <c:catAx>
        <c:axId val="1510727584"/>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IN"/>
                  <a:t>Distance </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72589536"/>
        <c:crosses val="autoZero"/>
        <c:auto val="1"/>
        <c:lblAlgn val="ctr"/>
        <c:lblOffset val="100"/>
        <c:noMultiLvlLbl val="0"/>
      </c:catAx>
      <c:valAx>
        <c:axId val="137258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IN"/>
                  <a:t> countof bikes</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5107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AGE</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TABLES'!$A$41:$A$43</c:f>
              <c:strCache>
                <c:ptCount val="2"/>
                <c:pt idx="0">
                  <c:v>Middle Age</c:v>
                </c:pt>
                <c:pt idx="1">
                  <c:v>OLD</c:v>
                </c:pt>
              </c:strCache>
            </c:strRef>
          </c:cat>
          <c:val>
            <c:numRef>
              <c:f>'PIVOT TABLES'!$B$41:$B$43</c:f>
              <c:numCache>
                <c:formatCode>General</c:formatCode>
                <c:ptCount val="2"/>
                <c:pt idx="0">
                  <c:v>8</c:v>
                </c:pt>
                <c:pt idx="1">
                  <c:v>12</c:v>
                </c:pt>
              </c:numCache>
            </c:numRef>
          </c:val>
          <c:smooth val="0"/>
          <c:extLst>
            <c:ext xmlns:c16="http://schemas.microsoft.com/office/drawing/2014/chart" uri="{C3380CC4-5D6E-409C-BE32-E72D297353CC}">
              <c16:uniqueId val="{00000000-56E7-416C-A804-8435F7321DB9}"/>
            </c:ext>
          </c:extLst>
        </c:ser>
        <c:ser>
          <c:idx val="1"/>
          <c:order val="1"/>
          <c:tx>
            <c:strRef>
              <c:f>'PIVOT TABLES'!$C$39:$C$40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TABLES'!$A$41:$A$43</c:f>
              <c:strCache>
                <c:ptCount val="2"/>
                <c:pt idx="0">
                  <c:v>Middle Age</c:v>
                </c:pt>
                <c:pt idx="1">
                  <c:v>OLD</c:v>
                </c:pt>
              </c:strCache>
            </c:strRef>
          </c:cat>
          <c:val>
            <c:numRef>
              <c:f>'PIVOT TABLES'!$C$41:$C$43</c:f>
              <c:numCache>
                <c:formatCode>General</c:formatCode>
                <c:ptCount val="2"/>
                <c:pt idx="0">
                  <c:v>15</c:v>
                </c:pt>
                <c:pt idx="1">
                  <c:v>12</c:v>
                </c:pt>
              </c:numCache>
            </c:numRef>
          </c:val>
          <c:smooth val="0"/>
          <c:extLst>
            <c:ext xmlns:c16="http://schemas.microsoft.com/office/drawing/2014/chart" uri="{C3380CC4-5D6E-409C-BE32-E72D297353CC}">
              <c16:uniqueId val="{00000000-E3B9-4384-B0F4-500DBAC98822}"/>
            </c:ext>
          </c:extLst>
        </c:ser>
        <c:dLbls>
          <c:showLegendKey val="0"/>
          <c:showVal val="0"/>
          <c:showCatName val="0"/>
          <c:showSerName val="0"/>
          <c:showPercent val="0"/>
          <c:showBubbleSize val="0"/>
        </c:dLbls>
        <c:marker val="1"/>
        <c:smooth val="0"/>
        <c:axId val="1505634272"/>
        <c:axId val="1520833120"/>
      </c:lineChart>
      <c:catAx>
        <c:axId val="1505634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33120"/>
        <c:crosses val="autoZero"/>
        <c:auto val="1"/>
        <c:lblAlgn val="ctr"/>
        <c:lblOffset val="100"/>
        <c:noMultiLvlLbl val="0"/>
      </c:catAx>
      <c:valAx>
        <c:axId val="1520833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3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EDU</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TABLES'!$B$56:$B$57</c:f>
              <c:strCache>
                <c:ptCount val="1"/>
                <c:pt idx="0">
                  <c:v>No</c:v>
                </c:pt>
              </c:strCache>
            </c:strRef>
          </c:tx>
          <c:spPr>
            <a:solidFill>
              <a:schemeClr val="accent1"/>
            </a:solidFill>
            <a:ln>
              <a:noFill/>
            </a:ln>
            <a:effectLst/>
            <a:sp3d/>
          </c:spPr>
          <c:invertIfNegative val="0"/>
          <c:cat>
            <c:strRef>
              <c:f>'PIVOT TABLES'!$A$58:$A$60</c:f>
              <c:strCache>
                <c:ptCount val="2"/>
                <c:pt idx="0">
                  <c:v>Bachelors</c:v>
                </c:pt>
                <c:pt idx="1">
                  <c:v>Graduate Degree</c:v>
                </c:pt>
              </c:strCache>
            </c:strRef>
          </c:cat>
          <c:val>
            <c:numRef>
              <c:f>'PIVOT TABLES'!$B$58:$B$60</c:f>
              <c:numCache>
                <c:formatCode>General</c:formatCode>
                <c:ptCount val="2"/>
                <c:pt idx="0">
                  <c:v>12</c:v>
                </c:pt>
                <c:pt idx="1">
                  <c:v>8</c:v>
                </c:pt>
              </c:numCache>
            </c:numRef>
          </c:val>
          <c:extLst>
            <c:ext xmlns:c16="http://schemas.microsoft.com/office/drawing/2014/chart" uri="{C3380CC4-5D6E-409C-BE32-E72D297353CC}">
              <c16:uniqueId val="{00000000-A616-45FF-AA2C-5611F01B964C}"/>
            </c:ext>
          </c:extLst>
        </c:ser>
        <c:ser>
          <c:idx val="1"/>
          <c:order val="1"/>
          <c:tx>
            <c:strRef>
              <c:f>'PIVOT TABLES'!$C$56:$C$57</c:f>
              <c:strCache>
                <c:ptCount val="1"/>
                <c:pt idx="0">
                  <c:v>Yes</c:v>
                </c:pt>
              </c:strCache>
            </c:strRef>
          </c:tx>
          <c:spPr>
            <a:solidFill>
              <a:schemeClr val="accent2"/>
            </a:solidFill>
            <a:ln>
              <a:noFill/>
            </a:ln>
            <a:effectLst/>
            <a:sp3d/>
          </c:spPr>
          <c:invertIfNegative val="0"/>
          <c:cat>
            <c:strRef>
              <c:f>'PIVOT TABLES'!$A$58:$A$60</c:f>
              <c:strCache>
                <c:ptCount val="2"/>
                <c:pt idx="0">
                  <c:v>Bachelors</c:v>
                </c:pt>
                <c:pt idx="1">
                  <c:v>Graduate Degree</c:v>
                </c:pt>
              </c:strCache>
            </c:strRef>
          </c:cat>
          <c:val>
            <c:numRef>
              <c:f>'PIVOT TABLES'!$C$58:$C$60</c:f>
              <c:numCache>
                <c:formatCode>General</c:formatCode>
                <c:ptCount val="2"/>
                <c:pt idx="0">
                  <c:v>18</c:v>
                </c:pt>
                <c:pt idx="1">
                  <c:v>9</c:v>
                </c:pt>
              </c:numCache>
            </c:numRef>
          </c:val>
          <c:extLst>
            <c:ext xmlns:c16="http://schemas.microsoft.com/office/drawing/2014/chart" uri="{C3380CC4-5D6E-409C-BE32-E72D297353CC}">
              <c16:uniqueId val="{00000000-438E-4E8F-85B6-6EE342FBE608}"/>
            </c:ext>
          </c:extLst>
        </c:ser>
        <c:dLbls>
          <c:showLegendKey val="0"/>
          <c:showVal val="0"/>
          <c:showCatName val="0"/>
          <c:showSerName val="0"/>
          <c:showPercent val="0"/>
          <c:showBubbleSize val="0"/>
        </c:dLbls>
        <c:gapWidth val="150"/>
        <c:shape val="box"/>
        <c:axId val="1510743184"/>
        <c:axId val="1372592864"/>
        <c:axId val="0"/>
      </c:bar3DChart>
      <c:catAx>
        <c:axId val="151074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592864"/>
        <c:crosses val="autoZero"/>
        <c:auto val="1"/>
        <c:lblAlgn val="ctr"/>
        <c:lblOffset val="100"/>
        <c:noMultiLvlLbl val="0"/>
      </c:catAx>
      <c:valAx>
        <c:axId val="137259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4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JOB</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TABLES'!$B$73:$B$74</c:f>
              <c:strCache>
                <c:ptCount val="1"/>
                <c:pt idx="0">
                  <c:v>No</c:v>
                </c:pt>
              </c:strCache>
            </c:strRef>
          </c:tx>
          <c:spPr>
            <a:solidFill>
              <a:schemeClr val="accent1"/>
            </a:solidFill>
            <a:ln>
              <a:noFill/>
            </a:ln>
            <a:effectLst/>
            <a:sp3d/>
          </c:spPr>
          <c:invertIfNegative val="0"/>
          <c:cat>
            <c:strRef>
              <c:f>'PIVOT TABLES'!$A$75:$A$76</c:f>
              <c:strCache>
                <c:ptCount val="1"/>
                <c:pt idx="0">
                  <c:v>Management</c:v>
                </c:pt>
              </c:strCache>
            </c:strRef>
          </c:cat>
          <c:val>
            <c:numRef>
              <c:f>'PIVOT TABLES'!$B$75:$B$76</c:f>
              <c:numCache>
                <c:formatCode>General</c:formatCode>
                <c:ptCount val="1"/>
                <c:pt idx="0">
                  <c:v>20</c:v>
                </c:pt>
              </c:numCache>
            </c:numRef>
          </c:val>
          <c:extLst>
            <c:ext xmlns:c16="http://schemas.microsoft.com/office/drawing/2014/chart" uri="{C3380CC4-5D6E-409C-BE32-E72D297353CC}">
              <c16:uniqueId val="{00000000-F0EC-4CEF-AFC1-10C8A262F61A}"/>
            </c:ext>
          </c:extLst>
        </c:ser>
        <c:ser>
          <c:idx val="1"/>
          <c:order val="1"/>
          <c:tx>
            <c:strRef>
              <c:f>'PIVOT TABLES'!$C$73:$C$74</c:f>
              <c:strCache>
                <c:ptCount val="1"/>
                <c:pt idx="0">
                  <c:v>Yes</c:v>
                </c:pt>
              </c:strCache>
            </c:strRef>
          </c:tx>
          <c:spPr>
            <a:solidFill>
              <a:schemeClr val="accent2"/>
            </a:solidFill>
            <a:ln>
              <a:noFill/>
            </a:ln>
            <a:effectLst/>
            <a:sp3d/>
          </c:spPr>
          <c:invertIfNegative val="0"/>
          <c:cat>
            <c:strRef>
              <c:f>'PIVOT TABLES'!$A$75:$A$76</c:f>
              <c:strCache>
                <c:ptCount val="1"/>
                <c:pt idx="0">
                  <c:v>Management</c:v>
                </c:pt>
              </c:strCache>
            </c:strRef>
          </c:cat>
          <c:val>
            <c:numRef>
              <c:f>'PIVOT TABLES'!$C$75:$C$76</c:f>
              <c:numCache>
                <c:formatCode>General</c:formatCode>
                <c:ptCount val="1"/>
                <c:pt idx="0">
                  <c:v>27</c:v>
                </c:pt>
              </c:numCache>
            </c:numRef>
          </c:val>
          <c:extLst>
            <c:ext xmlns:c16="http://schemas.microsoft.com/office/drawing/2014/chart" uri="{C3380CC4-5D6E-409C-BE32-E72D297353CC}">
              <c16:uniqueId val="{00000000-E416-4EC4-845D-F00BA58792FE}"/>
            </c:ext>
          </c:extLst>
        </c:ser>
        <c:dLbls>
          <c:showLegendKey val="0"/>
          <c:showVal val="0"/>
          <c:showCatName val="0"/>
          <c:showSerName val="0"/>
          <c:showPercent val="0"/>
          <c:showBubbleSize val="0"/>
        </c:dLbls>
        <c:gapWidth val="150"/>
        <c:shape val="box"/>
        <c:axId val="1094018960"/>
        <c:axId val="1366275552"/>
        <c:axId val="0"/>
      </c:bar3DChart>
      <c:catAx>
        <c:axId val="1094018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275552"/>
        <c:crosses val="autoZero"/>
        <c:auto val="1"/>
        <c:lblAlgn val="ctr"/>
        <c:lblOffset val="100"/>
        <c:noMultiLvlLbl val="0"/>
      </c:catAx>
      <c:valAx>
        <c:axId val="136627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01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CHILDREN</c:name>
    <c:fmtId val="0"/>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TABLES'!$B$91:$B$92</c:f>
              <c:strCache>
                <c:ptCount val="1"/>
                <c:pt idx="0">
                  <c:v>No</c:v>
                </c:pt>
              </c:strCache>
            </c:strRef>
          </c:tx>
          <c:spPr>
            <a:solidFill>
              <a:schemeClr val="accent1"/>
            </a:solidFill>
            <a:ln>
              <a:noFill/>
            </a:ln>
            <a:effectLst/>
            <a:sp3d/>
          </c:spPr>
          <c:invertIfNegative val="0"/>
          <c:cat>
            <c:strRef>
              <c:f>'PIVOT TABLES'!$A$93:$A$99</c:f>
              <c:strCache>
                <c:ptCount val="6"/>
                <c:pt idx="0">
                  <c:v>0</c:v>
                </c:pt>
                <c:pt idx="1">
                  <c:v>1</c:v>
                </c:pt>
                <c:pt idx="2">
                  <c:v>2</c:v>
                </c:pt>
                <c:pt idx="3">
                  <c:v>3</c:v>
                </c:pt>
                <c:pt idx="4">
                  <c:v>4</c:v>
                </c:pt>
                <c:pt idx="5">
                  <c:v>5</c:v>
                </c:pt>
              </c:strCache>
            </c:strRef>
          </c:cat>
          <c:val>
            <c:numRef>
              <c:f>'PIVOT TABLES'!$B$93:$B$99</c:f>
              <c:numCache>
                <c:formatCode>General</c:formatCode>
                <c:ptCount val="6"/>
                <c:pt idx="1">
                  <c:v>4</c:v>
                </c:pt>
                <c:pt idx="2">
                  <c:v>5</c:v>
                </c:pt>
                <c:pt idx="3">
                  <c:v>6</c:v>
                </c:pt>
                <c:pt idx="4">
                  <c:v>5</c:v>
                </c:pt>
              </c:numCache>
            </c:numRef>
          </c:val>
          <c:extLst>
            <c:ext xmlns:c16="http://schemas.microsoft.com/office/drawing/2014/chart" uri="{C3380CC4-5D6E-409C-BE32-E72D297353CC}">
              <c16:uniqueId val="{00000000-A691-4390-A3B6-A2AD3D5DAEDC}"/>
            </c:ext>
          </c:extLst>
        </c:ser>
        <c:ser>
          <c:idx val="1"/>
          <c:order val="1"/>
          <c:tx>
            <c:strRef>
              <c:f>'PIVOT TABLES'!$C$91:$C$92</c:f>
              <c:strCache>
                <c:ptCount val="1"/>
                <c:pt idx="0">
                  <c:v>Yes</c:v>
                </c:pt>
              </c:strCache>
            </c:strRef>
          </c:tx>
          <c:spPr>
            <a:solidFill>
              <a:schemeClr val="accent2"/>
            </a:solidFill>
            <a:ln>
              <a:noFill/>
            </a:ln>
            <a:effectLst/>
            <a:sp3d/>
          </c:spPr>
          <c:invertIfNegative val="0"/>
          <c:cat>
            <c:strRef>
              <c:f>'PIVOT TABLES'!$A$93:$A$99</c:f>
              <c:strCache>
                <c:ptCount val="6"/>
                <c:pt idx="0">
                  <c:v>0</c:v>
                </c:pt>
                <c:pt idx="1">
                  <c:v>1</c:v>
                </c:pt>
                <c:pt idx="2">
                  <c:v>2</c:v>
                </c:pt>
                <c:pt idx="3">
                  <c:v>3</c:v>
                </c:pt>
                <c:pt idx="4">
                  <c:v>4</c:v>
                </c:pt>
                <c:pt idx="5">
                  <c:v>5</c:v>
                </c:pt>
              </c:strCache>
            </c:strRef>
          </c:cat>
          <c:val>
            <c:numRef>
              <c:f>'PIVOT TABLES'!$C$93:$C$99</c:f>
              <c:numCache>
                <c:formatCode>General</c:formatCode>
                <c:ptCount val="6"/>
                <c:pt idx="0">
                  <c:v>5</c:v>
                </c:pt>
                <c:pt idx="1">
                  <c:v>2</c:v>
                </c:pt>
                <c:pt idx="2">
                  <c:v>5</c:v>
                </c:pt>
                <c:pt idx="3">
                  <c:v>5</c:v>
                </c:pt>
                <c:pt idx="4">
                  <c:v>6</c:v>
                </c:pt>
                <c:pt idx="5">
                  <c:v>4</c:v>
                </c:pt>
              </c:numCache>
            </c:numRef>
          </c:val>
          <c:extLst>
            <c:ext xmlns:c16="http://schemas.microsoft.com/office/drawing/2014/chart" uri="{C3380CC4-5D6E-409C-BE32-E72D297353CC}">
              <c16:uniqueId val="{00000000-080C-4BF1-8330-6744466676E9}"/>
            </c:ext>
          </c:extLst>
        </c:ser>
        <c:dLbls>
          <c:showLegendKey val="0"/>
          <c:showVal val="0"/>
          <c:showCatName val="0"/>
          <c:showSerName val="0"/>
          <c:showPercent val="0"/>
          <c:showBubbleSize val="0"/>
        </c:dLbls>
        <c:gapWidth val="150"/>
        <c:shape val="box"/>
        <c:axId val="1094014560"/>
        <c:axId val="1363000560"/>
        <c:axId val="0"/>
      </c:bar3DChart>
      <c:catAx>
        <c:axId val="1094014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00560"/>
        <c:crosses val="autoZero"/>
        <c:auto val="1"/>
        <c:lblAlgn val="ctr"/>
        <c:lblOffset val="100"/>
        <c:noMultiLvlLbl val="0"/>
      </c:catAx>
      <c:valAx>
        <c:axId val="136300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01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HOME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TABLES'!$B$107:$B$108</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1F-4AC5-B7BB-65B2A4E39C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1F-4AC5-B7BB-65B2A4E39CD2}"/>
              </c:ext>
            </c:extLst>
          </c:dPt>
          <c:cat>
            <c:strRef>
              <c:f>'PIVOT TABLES'!$A$109:$A$111</c:f>
              <c:strCache>
                <c:ptCount val="2"/>
                <c:pt idx="0">
                  <c:v>No</c:v>
                </c:pt>
                <c:pt idx="1">
                  <c:v>Yes</c:v>
                </c:pt>
              </c:strCache>
            </c:strRef>
          </c:cat>
          <c:val>
            <c:numRef>
              <c:f>'PIVOT TABLES'!$B$109:$B$111</c:f>
              <c:numCache>
                <c:formatCode>General</c:formatCode>
                <c:ptCount val="2"/>
                <c:pt idx="0">
                  <c:v>8</c:v>
                </c:pt>
                <c:pt idx="1">
                  <c:v>12</c:v>
                </c:pt>
              </c:numCache>
            </c:numRef>
          </c:val>
          <c:extLst>
            <c:ext xmlns:c16="http://schemas.microsoft.com/office/drawing/2014/chart" uri="{C3380CC4-5D6E-409C-BE32-E72D297353CC}">
              <c16:uniqueId val="{00000000-6C01-439D-8210-3A7BBFD7123E}"/>
            </c:ext>
          </c:extLst>
        </c:ser>
        <c:ser>
          <c:idx val="1"/>
          <c:order val="1"/>
          <c:tx>
            <c:strRef>
              <c:f>'PIVOT TABLES'!$C$107:$C$108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F12-4399-96F0-53A624A8D0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F12-4399-96F0-53A624A8D0AC}"/>
              </c:ext>
            </c:extLst>
          </c:dPt>
          <c:cat>
            <c:strRef>
              <c:f>'PIVOT TABLES'!$A$109:$A$111</c:f>
              <c:strCache>
                <c:ptCount val="2"/>
                <c:pt idx="0">
                  <c:v>No</c:v>
                </c:pt>
                <c:pt idx="1">
                  <c:v>Yes</c:v>
                </c:pt>
              </c:strCache>
            </c:strRef>
          </c:cat>
          <c:val>
            <c:numRef>
              <c:f>'PIVOT TABLES'!$C$109:$C$111</c:f>
              <c:numCache>
                <c:formatCode>General</c:formatCode>
                <c:ptCount val="2"/>
                <c:pt idx="0">
                  <c:v>10</c:v>
                </c:pt>
                <c:pt idx="1">
                  <c:v>17</c:v>
                </c:pt>
              </c:numCache>
            </c:numRef>
          </c:val>
          <c:extLst>
            <c:ext xmlns:c16="http://schemas.microsoft.com/office/drawing/2014/chart" uri="{C3380CC4-5D6E-409C-BE32-E72D297353CC}">
              <c16:uniqueId val="{00000008-A8BA-4FAB-9500-F61D296044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CAR</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7.6469816272965882E-2"/>
          <c:y val="0.14249781277340332"/>
          <c:w val="0.6735301837270341"/>
          <c:h val="0.65853091280256637"/>
        </c:manualLayout>
      </c:layout>
      <c:barChart>
        <c:barDir val="col"/>
        <c:grouping val="clustered"/>
        <c:varyColors val="0"/>
        <c:ser>
          <c:idx val="0"/>
          <c:order val="0"/>
          <c:tx>
            <c:strRef>
              <c:f>'PIVOT TABLES'!$B$123:$B$124</c:f>
              <c:strCache>
                <c:ptCount val="1"/>
                <c:pt idx="0">
                  <c:v>No</c:v>
                </c:pt>
              </c:strCache>
            </c:strRef>
          </c:tx>
          <c:spPr>
            <a:solidFill>
              <a:schemeClr val="accent1"/>
            </a:solidFill>
            <a:ln>
              <a:noFill/>
            </a:ln>
            <a:effectLst/>
          </c:spPr>
          <c:invertIfNegative val="0"/>
          <c:cat>
            <c:strRef>
              <c:f>'PIVOT TABLES'!$A$125:$A$130</c:f>
              <c:strCache>
                <c:ptCount val="5"/>
                <c:pt idx="0">
                  <c:v>0</c:v>
                </c:pt>
                <c:pt idx="1">
                  <c:v>1</c:v>
                </c:pt>
                <c:pt idx="2">
                  <c:v>2</c:v>
                </c:pt>
                <c:pt idx="3">
                  <c:v>3</c:v>
                </c:pt>
                <c:pt idx="4">
                  <c:v>4</c:v>
                </c:pt>
              </c:strCache>
            </c:strRef>
          </c:cat>
          <c:val>
            <c:numRef>
              <c:f>'PIVOT TABLES'!$B$125:$B$130</c:f>
              <c:numCache>
                <c:formatCode>General</c:formatCode>
                <c:ptCount val="5"/>
                <c:pt idx="0">
                  <c:v>2</c:v>
                </c:pt>
                <c:pt idx="1">
                  <c:v>4</c:v>
                </c:pt>
                <c:pt idx="2">
                  <c:v>8</c:v>
                </c:pt>
                <c:pt idx="3">
                  <c:v>1</c:v>
                </c:pt>
                <c:pt idx="4">
                  <c:v>5</c:v>
                </c:pt>
              </c:numCache>
            </c:numRef>
          </c:val>
          <c:extLst>
            <c:ext xmlns:c16="http://schemas.microsoft.com/office/drawing/2014/chart" uri="{C3380CC4-5D6E-409C-BE32-E72D297353CC}">
              <c16:uniqueId val="{00000000-1408-4E71-ABA4-453041158861}"/>
            </c:ext>
          </c:extLst>
        </c:ser>
        <c:ser>
          <c:idx val="1"/>
          <c:order val="1"/>
          <c:tx>
            <c:strRef>
              <c:f>'PIVOT TABLES'!$C$123:$C$124</c:f>
              <c:strCache>
                <c:ptCount val="1"/>
                <c:pt idx="0">
                  <c:v>Yes</c:v>
                </c:pt>
              </c:strCache>
            </c:strRef>
          </c:tx>
          <c:spPr>
            <a:solidFill>
              <a:schemeClr val="accent2"/>
            </a:solidFill>
            <a:ln>
              <a:noFill/>
            </a:ln>
            <a:effectLst/>
          </c:spPr>
          <c:invertIfNegative val="0"/>
          <c:cat>
            <c:strRef>
              <c:f>'PIVOT TABLES'!$A$125:$A$130</c:f>
              <c:strCache>
                <c:ptCount val="5"/>
                <c:pt idx="0">
                  <c:v>0</c:v>
                </c:pt>
                <c:pt idx="1">
                  <c:v>1</c:v>
                </c:pt>
                <c:pt idx="2">
                  <c:v>2</c:v>
                </c:pt>
                <c:pt idx="3">
                  <c:v>3</c:v>
                </c:pt>
                <c:pt idx="4">
                  <c:v>4</c:v>
                </c:pt>
              </c:strCache>
            </c:strRef>
          </c:cat>
          <c:val>
            <c:numRef>
              <c:f>'PIVOT TABLES'!$C$125:$C$130</c:f>
              <c:numCache>
                <c:formatCode>General</c:formatCode>
                <c:ptCount val="5"/>
                <c:pt idx="0">
                  <c:v>1</c:v>
                </c:pt>
                <c:pt idx="1">
                  <c:v>8</c:v>
                </c:pt>
                <c:pt idx="2">
                  <c:v>9</c:v>
                </c:pt>
                <c:pt idx="3">
                  <c:v>7</c:v>
                </c:pt>
                <c:pt idx="4">
                  <c:v>2</c:v>
                </c:pt>
              </c:numCache>
            </c:numRef>
          </c:val>
          <c:extLst>
            <c:ext xmlns:c16="http://schemas.microsoft.com/office/drawing/2014/chart" uri="{C3380CC4-5D6E-409C-BE32-E72D297353CC}">
              <c16:uniqueId val="{00000000-6DDE-4157-AA96-4F84A95A03D6}"/>
            </c:ext>
          </c:extLst>
        </c:ser>
        <c:dLbls>
          <c:showLegendKey val="0"/>
          <c:showVal val="0"/>
          <c:showCatName val="0"/>
          <c:showSerName val="0"/>
          <c:showPercent val="0"/>
          <c:showBubbleSize val="0"/>
        </c:dLbls>
        <c:gapWidth val="219"/>
        <c:overlap val="-27"/>
        <c:axId val="1819761103"/>
        <c:axId val="2061790527"/>
      </c:barChart>
      <c:catAx>
        <c:axId val="181976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790527"/>
        <c:crosses val="autoZero"/>
        <c:auto val="1"/>
        <c:lblAlgn val="ctr"/>
        <c:lblOffset val="100"/>
        <c:noMultiLvlLbl val="0"/>
      </c:catAx>
      <c:valAx>
        <c:axId val="206179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76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INCOME</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Income for Bike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'PIVOT TABLES'!$B$3:$B$4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TABLES'!$A$5:$A$8</c:f>
              <c:strCache>
                <c:ptCount val="3"/>
                <c:pt idx="0">
                  <c:v>Female</c:v>
                </c:pt>
                <c:pt idx="1">
                  <c:v>Male</c:v>
                </c:pt>
                <c:pt idx="2">
                  <c:v>(blank)</c:v>
                </c:pt>
              </c:strCache>
            </c:strRef>
          </c:cat>
          <c:val>
            <c:numRef>
              <c:f>'PIVOT TABLES'!$B$5:$B$8</c:f>
              <c:numCache>
                <c:formatCode>0.00</c:formatCode>
                <c:ptCount val="3"/>
                <c:pt idx="0">
                  <c:v>53449.612403100778</c:v>
                </c:pt>
                <c:pt idx="1">
                  <c:v>56520.146520146518</c:v>
                </c:pt>
              </c:numCache>
            </c:numRef>
          </c:val>
          <c:extLst>
            <c:ext xmlns:c16="http://schemas.microsoft.com/office/drawing/2014/chart" uri="{C3380CC4-5D6E-409C-BE32-E72D297353CC}">
              <c16:uniqueId val="{00000000-9E42-4CA7-B879-0C326CA6A3E9}"/>
            </c:ext>
          </c:extLst>
        </c:ser>
        <c:ser>
          <c:idx val="1"/>
          <c:order val="1"/>
          <c:tx>
            <c:strRef>
              <c:f>'PIVOT TABLES'!$C$3:$C$4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TABLES'!$A$5:$A$8</c:f>
              <c:strCache>
                <c:ptCount val="3"/>
                <c:pt idx="0">
                  <c:v>Female</c:v>
                </c:pt>
                <c:pt idx="1">
                  <c:v>Male</c:v>
                </c:pt>
                <c:pt idx="2">
                  <c:v>(blank)</c:v>
                </c:pt>
              </c:strCache>
            </c:strRef>
          </c:cat>
          <c:val>
            <c:numRef>
              <c:f>'PIVOT TABLES'!$C$5:$C$8</c:f>
              <c:numCache>
                <c:formatCode>0.00</c:formatCode>
                <c:ptCount val="3"/>
                <c:pt idx="0">
                  <c:v>55267.489711934155</c:v>
                </c:pt>
                <c:pt idx="1">
                  <c:v>59603.174603174601</c:v>
                </c:pt>
              </c:numCache>
            </c:numRef>
          </c:val>
          <c:extLst>
            <c:ext xmlns:c16="http://schemas.microsoft.com/office/drawing/2014/chart" uri="{C3380CC4-5D6E-409C-BE32-E72D297353CC}">
              <c16:uniqueId val="{00000001-9E42-4CA7-B879-0C326CA6A3E9}"/>
            </c:ext>
          </c:extLst>
        </c:ser>
        <c:ser>
          <c:idx val="2"/>
          <c:order val="2"/>
          <c:tx>
            <c:strRef>
              <c:f>'PIVOT TABLES'!$D$3:$D$4</c:f>
              <c:strCache>
                <c:ptCount val="1"/>
                <c:pt idx="0">
                  <c:v>(blank)</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TABLES'!$A$5:$A$8</c:f>
              <c:strCache>
                <c:ptCount val="3"/>
                <c:pt idx="0">
                  <c:v>Female</c:v>
                </c:pt>
                <c:pt idx="1">
                  <c:v>Male</c:v>
                </c:pt>
                <c:pt idx="2">
                  <c:v>(blank)</c:v>
                </c:pt>
              </c:strCache>
            </c:strRef>
          </c:cat>
          <c:val>
            <c:numRef>
              <c:f>'PIVOT TABLES'!$D$5:$D$8</c:f>
              <c:numCache>
                <c:formatCode>0.00</c:formatCode>
                <c:ptCount val="3"/>
              </c:numCache>
            </c:numRef>
          </c:val>
          <c:extLst>
            <c:ext xmlns:c16="http://schemas.microsoft.com/office/drawing/2014/chart" uri="{C3380CC4-5D6E-409C-BE32-E72D297353CC}">
              <c16:uniqueId val="{00000002-9E42-4CA7-B879-0C326CA6A3E9}"/>
            </c:ext>
          </c:extLst>
        </c:ser>
        <c:dLbls>
          <c:showLegendKey val="0"/>
          <c:showVal val="0"/>
          <c:showCatName val="0"/>
          <c:showSerName val="0"/>
          <c:showPercent val="0"/>
          <c:showBubbleSize val="0"/>
        </c:dLbls>
        <c:gapWidth val="100"/>
        <c:overlap val="-24"/>
        <c:axId val="1362229760"/>
        <c:axId val="1366272640"/>
      </c:barChart>
      <c:catAx>
        <c:axId val="13622297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6272640"/>
        <c:crosses val="autoZero"/>
        <c:auto val="1"/>
        <c:lblAlgn val="ctr"/>
        <c:lblOffset val="100"/>
        <c:noMultiLvlLbl val="0"/>
      </c:catAx>
      <c:valAx>
        <c:axId val="13662726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Average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22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PURCHASE</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DISTANCE FROM SHOP</a:t>
            </a:r>
            <a:endParaRPr lang="en-IN"/>
          </a:p>
        </c:rich>
      </c:tx>
      <c:layout>
        <c:manualLayout>
          <c:xMode val="edge"/>
          <c:yMode val="edge"/>
          <c:x val="0.25406229848876344"/>
          <c:y val="0.100371126838503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1"/>
            </a:solidFill>
            <a:round/>
          </a:ln>
          <a:effectLst>
            <a:outerShdw blurRad="40000" dist="23000" dir="5400000" rotWithShape="0">
              <a:srgbClr val="000000">
                <a:alpha val="35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lineChart>
        <c:grouping val="standard"/>
        <c:varyColors val="0"/>
        <c:ser>
          <c:idx val="0"/>
          <c:order val="0"/>
          <c:tx>
            <c:strRef>
              <c:f>'PIVOT TABLES'!$B$22:$B$23</c:f>
              <c:strCache>
                <c:ptCount val="1"/>
                <c:pt idx="0">
                  <c:v>No</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TABLES'!$A$24:$A$29</c:f>
              <c:strCache>
                <c:ptCount val="5"/>
                <c:pt idx="0">
                  <c:v>0-1 Miles</c:v>
                </c:pt>
                <c:pt idx="1">
                  <c:v>1-2 Miles</c:v>
                </c:pt>
                <c:pt idx="2">
                  <c:v>2-5 Miles</c:v>
                </c:pt>
                <c:pt idx="3">
                  <c:v>5-10 Miles</c:v>
                </c:pt>
                <c:pt idx="4">
                  <c:v>more than 10 miles</c:v>
                </c:pt>
              </c:strCache>
            </c:strRef>
          </c:cat>
          <c:val>
            <c:numRef>
              <c:f>'PIVOT TABLES'!$B$24:$B$29</c:f>
              <c:numCache>
                <c:formatCode>General</c:formatCode>
                <c:ptCount val="5"/>
                <c:pt idx="0">
                  <c:v>3</c:v>
                </c:pt>
                <c:pt idx="1">
                  <c:v>5</c:v>
                </c:pt>
                <c:pt idx="2">
                  <c:v>1</c:v>
                </c:pt>
                <c:pt idx="3">
                  <c:v>4</c:v>
                </c:pt>
                <c:pt idx="4">
                  <c:v>7</c:v>
                </c:pt>
              </c:numCache>
            </c:numRef>
          </c:val>
          <c:smooth val="0"/>
          <c:extLst>
            <c:ext xmlns:c16="http://schemas.microsoft.com/office/drawing/2014/chart" uri="{C3380CC4-5D6E-409C-BE32-E72D297353CC}">
              <c16:uniqueId val="{00000000-FE5B-43C7-87CA-F9533E030818}"/>
            </c:ext>
          </c:extLst>
        </c:ser>
        <c:ser>
          <c:idx val="1"/>
          <c:order val="1"/>
          <c:tx>
            <c:strRef>
              <c:f>'PIVOT TABLES'!$C$22:$C$23</c:f>
              <c:strCache>
                <c:ptCount val="1"/>
                <c:pt idx="0">
                  <c:v>Yes</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'PIVOT TABLES'!$A$24:$A$29</c:f>
              <c:strCache>
                <c:ptCount val="5"/>
                <c:pt idx="0">
                  <c:v>0-1 Miles</c:v>
                </c:pt>
                <c:pt idx="1">
                  <c:v>1-2 Miles</c:v>
                </c:pt>
                <c:pt idx="2">
                  <c:v>2-5 Miles</c:v>
                </c:pt>
                <c:pt idx="3">
                  <c:v>5-10 Miles</c:v>
                </c:pt>
                <c:pt idx="4">
                  <c:v>more than 10 miles</c:v>
                </c:pt>
              </c:strCache>
            </c:strRef>
          </c:cat>
          <c:val>
            <c:numRef>
              <c:f>'PIVOT TABLES'!$C$24:$C$29</c:f>
              <c:numCache>
                <c:formatCode>General</c:formatCode>
                <c:ptCount val="5"/>
                <c:pt idx="0">
                  <c:v>6</c:v>
                </c:pt>
                <c:pt idx="1">
                  <c:v>5</c:v>
                </c:pt>
                <c:pt idx="2">
                  <c:v>5</c:v>
                </c:pt>
                <c:pt idx="3">
                  <c:v>6</c:v>
                </c:pt>
                <c:pt idx="4">
                  <c:v>5</c:v>
                </c:pt>
              </c:numCache>
            </c:numRef>
          </c:val>
          <c:smooth val="0"/>
          <c:extLst>
            <c:ext xmlns:c16="http://schemas.microsoft.com/office/drawing/2014/chart" uri="{C3380CC4-5D6E-409C-BE32-E72D297353CC}">
              <c16:uniqueId val="{00000000-1B4E-4F01-BE43-3316846EFEBC}"/>
            </c:ext>
          </c:extLst>
        </c:ser>
        <c:dLbls>
          <c:showLegendKey val="0"/>
          <c:showVal val="0"/>
          <c:showCatName val="0"/>
          <c:showSerName val="0"/>
          <c:showPercent val="0"/>
          <c:showBubbleSize val="0"/>
        </c:dLbls>
        <c:marker val="1"/>
        <c:smooth val="0"/>
        <c:axId val="1510727584"/>
        <c:axId val="1372589536"/>
      </c:lineChart>
      <c:catAx>
        <c:axId val="15107275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Distance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589536"/>
        <c:crosses val="autoZero"/>
        <c:auto val="1"/>
        <c:lblAlgn val="ctr"/>
        <c:lblOffset val="100"/>
        <c:noMultiLvlLbl val="0"/>
      </c:catAx>
      <c:valAx>
        <c:axId val="13725895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countof bikes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7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AGE</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BIKES</a:t>
            </a:r>
            <a:r>
              <a:rPr lang="en-IN" baseline="0"/>
              <a:t> PURCHASED AS PER THE AGE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'PIVOT TABLES'!$B$39:$B$40</c:f>
              <c:strCache>
                <c:ptCount val="1"/>
                <c:pt idx="0">
                  <c:v>No</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TABLES'!$A$41:$A$43</c:f>
              <c:strCache>
                <c:ptCount val="2"/>
                <c:pt idx="0">
                  <c:v>Middle Age</c:v>
                </c:pt>
                <c:pt idx="1">
                  <c:v>OLD</c:v>
                </c:pt>
              </c:strCache>
            </c:strRef>
          </c:cat>
          <c:val>
            <c:numRef>
              <c:f>'PIVOT TABLES'!$B$41:$B$43</c:f>
              <c:numCache>
                <c:formatCode>General</c:formatCode>
                <c:ptCount val="2"/>
                <c:pt idx="0">
                  <c:v>8</c:v>
                </c:pt>
                <c:pt idx="1">
                  <c:v>12</c:v>
                </c:pt>
              </c:numCache>
            </c:numRef>
          </c:val>
          <c:smooth val="0"/>
          <c:extLst>
            <c:ext xmlns:c16="http://schemas.microsoft.com/office/drawing/2014/chart" uri="{C3380CC4-5D6E-409C-BE32-E72D297353CC}">
              <c16:uniqueId val="{00000000-3F2C-4D92-8CAC-51ABD5FBC2EA}"/>
            </c:ext>
          </c:extLst>
        </c:ser>
        <c:ser>
          <c:idx val="1"/>
          <c:order val="1"/>
          <c:tx>
            <c:strRef>
              <c:f>'PIVOT TABLES'!$C$39:$C$40</c:f>
              <c:strCache>
                <c:ptCount val="1"/>
                <c:pt idx="0">
                  <c:v>Yes</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TABLES'!$A$41:$A$43</c:f>
              <c:strCache>
                <c:ptCount val="2"/>
                <c:pt idx="0">
                  <c:v>Middle Age</c:v>
                </c:pt>
                <c:pt idx="1">
                  <c:v>OLD</c:v>
                </c:pt>
              </c:strCache>
            </c:strRef>
          </c:cat>
          <c:val>
            <c:numRef>
              <c:f>'PIVOT TABLES'!$C$41:$C$43</c:f>
              <c:numCache>
                <c:formatCode>General</c:formatCode>
                <c:ptCount val="2"/>
                <c:pt idx="0">
                  <c:v>15</c:v>
                </c:pt>
                <c:pt idx="1">
                  <c:v>12</c:v>
                </c:pt>
              </c:numCache>
            </c:numRef>
          </c:val>
          <c:smooth val="0"/>
          <c:extLst>
            <c:ext xmlns:c16="http://schemas.microsoft.com/office/drawing/2014/chart" uri="{C3380CC4-5D6E-409C-BE32-E72D297353CC}">
              <c16:uniqueId val="{00000000-88CA-421F-9EF5-63C5199DDA4B}"/>
            </c:ext>
          </c:extLst>
        </c:ser>
        <c:dLbls>
          <c:showLegendKey val="0"/>
          <c:showVal val="0"/>
          <c:showCatName val="0"/>
          <c:showSerName val="0"/>
          <c:showPercent val="0"/>
          <c:showBubbleSize val="0"/>
        </c:dLbls>
        <c:marker val="1"/>
        <c:smooth val="0"/>
        <c:axId val="1505634272"/>
        <c:axId val="1520833120"/>
      </c:lineChart>
      <c:catAx>
        <c:axId val="15056342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833120"/>
        <c:crosses val="autoZero"/>
        <c:auto val="1"/>
        <c:lblAlgn val="ctr"/>
        <c:lblOffset val="100"/>
        <c:noMultiLvlLbl val="0"/>
      </c:catAx>
      <c:valAx>
        <c:axId val="1520833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purchase 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3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EDU</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PURCHASE</a:t>
            </a:r>
            <a:r>
              <a:rPr lang="en-IN" baseline="0"/>
              <a:t> OF BIKE AS PER THE EDUCATION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TABLES'!$B$56:$B$57</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TABLES'!$A$58:$A$60</c:f>
              <c:strCache>
                <c:ptCount val="2"/>
                <c:pt idx="0">
                  <c:v>Bachelors</c:v>
                </c:pt>
                <c:pt idx="1">
                  <c:v>Graduate Degree</c:v>
                </c:pt>
              </c:strCache>
            </c:strRef>
          </c:cat>
          <c:val>
            <c:numRef>
              <c:f>'PIVOT TABLES'!$B$58:$B$60</c:f>
              <c:numCache>
                <c:formatCode>General</c:formatCode>
                <c:ptCount val="2"/>
                <c:pt idx="0">
                  <c:v>12</c:v>
                </c:pt>
                <c:pt idx="1">
                  <c:v>8</c:v>
                </c:pt>
              </c:numCache>
            </c:numRef>
          </c:val>
          <c:extLst>
            <c:ext xmlns:c16="http://schemas.microsoft.com/office/drawing/2014/chart" uri="{C3380CC4-5D6E-409C-BE32-E72D297353CC}">
              <c16:uniqueId val="{00000000-EC96-4D86-9C7D-7F5D6822BB1D}"/>
            </c:ext>
          </c:extLst>
        </c:ser>
        <c:ser>
          <c:idx val="1"/>
          <c:order val="1"/>
          <c:tx>
            <c:strRef>
              <c:f>'PIVOT TABLES'!$C$56:$C$57</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TABLES'!$A$58:$A$60</c:f>
              <c:strCache>
                <c:ptCount val="2"/>
                <c:pt idx="0">
                  <c:v>Bachelors</c:v>
                </c:pt>
                <c:pt idx="1">
                  <c:v>Graduate Degree</c:v>
                </c:pt>
              </c:strCache>
            </c:strRef>
          </c:cat>
          <c:val>
            <c:numRef>
              <c:f>'PIVOT TABLES'!$C$58:$C$60</c:f>
              <c:numCache>
                <c:formatCode>General</c:formatCode>
                <c:ptCount val="2"/>
                <c:pt idx="0">
                  <c:v>18</c:v>
                </c:pt>
                <c:pt idx="1">
                  <c:v>9</c:v>
                </c:pt>
              </c:numCache>
            </c:numRef>
          </c:val>
          <c:extLst>
            <c:ext xmlns:c16="http://schemas.microsoft.com/office/drawing/2014/chart" uri="{C3380CC4-5D6E-409C-BE32-E72D297353CC}">
              <c16:uniqueId val="{00000000-2CAD-455F-94EF-BE0C45BDD451}"/>
            </c:ext>
          </c:extLst>
        </c:ser>
        <c:dLbls>
          <c:showLegendKey val="0"/>
          <c:showVal val="0"/>
          <c:showCatName val="0"/>
          <c:showSerName val="0"/>
          <c:showPercent val="0"/>
          <c:showBubbleSize val="0"/>
        </c:dLbls>
        <c:gapWidth val="150"/>
        <c:shape val="box"/>
        <c:axId val="1510743184"/>
        <c:axId val="1372592864"/>
        <c:axId val="0"/>
      </c:bar3DChart>
      <c:catAx>
        <c:axId val="151074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592864"/>
        <c:crosses val="autoZero"/>
        <c:auto val="1"/>
        <c:lblAlgn val="ctr"/>
        <c:lblOffset val="100"/>
        <c:noMultiLvlLbl val="0"/>
      </c:catAx>
      <c:valAx>
        <c:axId val="13725928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74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JOB</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PURCHASE</a:t>
            </a:r>
            <a:r>
              <a:rPr lang="en-IN" baseline="0"/>
              <a:t> OF BIKES AS PER THE PROFESSION</a:t>
            </a:r>
            <a:endParaRPr lang="en-IN"/>
          </a:p>
        </c:rich>
      </c:tx>
      <c:layout>
        <c:manualLayout>
          <c:xMode val="edge"/>
          <c:yMode val="edge"/>
          <c:x val="0.28232256640509285"/>
          <c:y val="5.605499667834105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263895516330091E-2"/>
          <c:y val="0.12701242688800587"/>
          <c:w val="0.79595041467522154"/>
          <c:h val="0.72846118720436293"/>
        </c:manualLayout>
      </c:layout>
      <c:bar3DChart>
        <c:barDir val="col"/>
        <c:grouping val="clustered"/>
        <c:varyColors val="0"/>
        <c:ser>
          <c:idx val="0"/>
          <c:order val="0"/>
          <c:tx>
            <c:strRef>
              <c:f>'PIVOT TABLES'!$B$73:$B$74</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TABLES'!$A$75:$A$76</c:f>
              <c:strCache>
                <c:ptCount val="1"/>
                <c:pt idx="0">
                  <c:v>Management</c:v>
                </c:pt>
              </c:strCache>
            </c:strRef>
          </c:cat>
          <c:val>
            <c:numRef>
              <c:f>'PIVOT TABLES'!$B$75:$B$76</c:f>
              <c:numCache>
                <c:formatCode>General</c:formatCode>
                <c:ptCount val="1"/>
                <c:pt idx="0">
                  <c:v>20</c:v>
                </c:pt>
              </c:numCache>
            </c:numRef>
          </c:val>
          <c:extLst>
            <c:ext xmlns:c16="http://schemas.microsoft.com/office/drawing/2014/chart" uri="{C3380CC4-5D6E-409C-BE32-E72D297353CC}">
              <c16:uniqueId val="{00000000-A975-4753-92C1-4F2216204E4A}"/>
            </c:ext>
          </c:extLst>
        </c:ser>
        <c:ser>
          <c:idx val="1"/>
          <c:order val="1"/>
          <c:tx>
            <c:strRef>
              <c:f>'PIVOT TABLES'!$C$73:$C$74</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TABLES'!$A$75:$A$76</c:f>
              <c:strCache>
                <c:ptCount val="1"/>
                <c:pt idx="0">
                  <c:v>Management</c:v>
                </c:pt>
              </c:strCache>
            </c:strRef>
          </c:cat>
          <c:val>
            <c:numRef>
              <c:f>'PIVOT TABLES'!$C$75:$C$76</c:f>
              <c:numCache>
                <c:formatCode>General</c:formatCode>
                <c:ptCount val="1"/>
                <c:pt idx="0">
                  <c:v>27</c:v>
                </c:pt>
              </c:numCache>
            </c:numRef>
          </c:val>
          <c:extLst>
            <c:ext xmlns:c16="http://schemas.microsoft.com/office/drawing/2014/chart" uri="{C3380CC4-5D6E-409C-BE32-E72D297353CC}">
              <c16:uniqueId val="{00000000-9EED-46F5-991D-A4FB123C9211}"/>
            </c:ext>
          </c:extLst>
        </c:ser>
        <c:dLbls>
          <c:showLegendKey val="0"/>
          <c:showVal val="0"/>
          <c:showCatName val="0"/>
          <c:showSerName val="0"/>
          <c:showPercent val="0"/>
          <c:showBubbleSize val="0"/>
        </c:dLbls>
        <c:gapWidth val="150"/>
        <c:shape val="box"/>
        <c:axId val="1094018960"/>
        <c:axId val="1366275552"/>
        <c:axId val="0"/>
      </c:bar3DChart>
      <c:catAx>
        <c:axId val="1094018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275552"/>
        <c:crosses val="autoZero"/>
        <c:auto val="1"/>
        <c:lblAlgn val="ctr"/>
        <c:lblOffset val="100"/>
        <c:noMultiLvlLbl val="0"/>
      </c:catAx>
      <c:valAx>
        <c:axId val="136627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01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 CHILDREN</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a:t>
            </a:r>
            <a:r>
              <a:rPr lang="en-IN" baseline="0"/>
              <a:t> AS PER THE CHILDREN IN THE FAMILY</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a:gsLst>
              <a:gs pos="100000">
                <a:schemeClr val="accent1">
                  <a:alpha val="0"/>
                </a:schemeClr>
              </a:gs>
              <a:gs pos="50000">
                <a:schemeClr val="accent1"/>
              </a:gs>
            </a:gsLst>
            <a:lin ang="5400000" scaled="0"/>
          </a:gradFill>
          <a:ln>
            <a:noFill/>
          </a:ln>
          <a:effectLst/>
          <a:sp3d/>
        </c:spPr>
        <c:marker>
          <c:symbol val="none"/>
        </c:marker>
      </c:pivotFmt>
      <c:pivotFmt>
        <c:idx val="5"/>
        <c:spPr>
          <a:gradFill>
            <a:gsLst>
              <a:gs pos="100000">
                <a:schemeClr val="accent1">
                  <a:alpha val="0"/>
                </a:schemeClr>
              </a:gs>
              <a:gs pos="50000">
                <a:schemeClr val="accent1"/>
              </a:gs>
            </a:gsLst>
            <a:lin ang="5400000" scaled="0"/>
          </a:gradFill>
          <a:ln>
            <a:noFill/>
          </a:ln>
          <a:effectLst/>
          <a:sp3d/>
        </c:spPr>
        <c:marker>
          <c:symbol val="none"/>
        </c:marker>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05418884796493E-2"/>
          <c:y val="0.18349288575770134"/>
          <c:w val="0.82983123532440473"/>
          <c:h val="0.69376502279320351"/>
        </c:manualLayout>
      </c:layout>
      <c:bar3DChart>
        <c:barDir val="col"/>
        <c:grouping val="clustered"/>
        <c:varyColors val="0"/>
        <c:ser>
          <c:idx val="0"/>
          <c:order val="0"/>
          <c:tx>
            <c:strRef>
              <c:f>'PIVOT TABLES'!$B$91:$B$92</c:f>
              <c:strCache>
                <c:ptCount val="1"/>
                <c:pt idx="0">
                  <c:v>No</c:v>
                </c:pt>
              </c:strCache>
            </c:strRef>
          </c:tx>
          <c:spPr>
            <a:gradFill>
              <a:gsLst>
                <a:gs pos="100000">
                  <a:schemeClr val="accent1">
                    <a:alpha val="0"/>
                  </a:schemeClr>
                </a:gs>
                <a:gs pos="50000">
                  <a:schemeClr val="accent1"/>
                </a:gs>
              </a:gsLst>
              <a:lin ang="5400000" scaled="0"/>
            </a:gradFill>
            <a:ln>
              <a:noFill/>
            </a:ln>
            <a:effectLst/>
            <a:sp3d/>
          </c:spPr>
          <c:invertIfNegative val="0"/>
          <c:cat>
            <c:strRef>
              <c:f>'PIVOT TABLES'!$A$93:$A$99</c:f>
              <c:strCache>
                <c:ptCount val="6"/>
                <c:pt idx="0">
                  <c:v>0</c:v>
                </c:pt>
                <c:pt idx="1">
                  <c:v>1</c:v>
                </c:pt>
                <c:pt idx="2">
                  <c:v>2</c:v>
                </c:pt>
                <c:pt idx="3">
                  <c:v>3</c:v>
                </c:pt>
                <c:pt idx="4">
                  <c:v>4</c:v>
                </c:pt>
                <c:pt idx="5">
                  <c:v>5</c:v>
                </c:pt>
              </c:strCache>
            </c:strRef>
          </c:cat>
          <c:val>
            <c:numRef>
              <c:f>'PIVOT TABLES'!$B$93:$B$99</c:f>
              <c:numCache>
                <c:formatCode>General</c:formatCode>
                <c:ptCount val="6"/>
                <c:pt idx="1">
                  <c:v>4</c:v>
                </c:pt>
                <c:pt idx="2">
                  <c:v>5</c:v>
                </c:pt>
                <c:pt idx="3">
                  <c:v>6</c:v>
                </c:pt>
                <c:pt idx="4">
                  <c:v>5</c:v>
                </c:pt>
              </c:numCache>
            </c:numRef>
          </c:val>
          <c:extLst>
            <c:ext xmlns:c16="http://schemas.microsoft.com/office/drawing/2014/chart" uri="{C3380CC4-5D6E-409C-BE32-E72D297353CC}">
              <c16:uniqueId val="{00000000-62D7-4CDA-ADC3-5CC38F3BDB66}"/>
            </c:ext>
          </c:extLst>
        </c:ser>
        <c:ser>
          <c:idx val="1"/>
          <c:order val="1"/>
          <c:tx>
            <c:strRef>
              <c:f>'PIVOT TABLES'!$C$91:$C$92</c:f>
              <c:strCache>
                <c:ptCount val="1"/>
                <c:pt idx="0">
                  <c:v>Yes</c:v>
                </c:pt>
              </c:strCache>
            </c:strRef>
          </c:tx>
          <c:spPr>
            <a:gradFill>
              <a:gsLst>
                <a:gs pos="100000">
                  <a:schemeClr val="accent2">
                    <a:alpha val="0"/>
                  </a:schemeClr>
                </a:gs>
                <a:gs pos="50000">
                  <a:schemeClr val="accent2"/>
                </a:gs>
              </a:gsLst>
              <a:lin ang="5400000" scaled="0"/>
            </a:gradFill>
            <a:ln>
              <a:noFill/>
            </a:ln>
            <a:effectLst/>
            <a:sp3d/>
          </c:spPr>
          <c:invertIfNegative val="0"/>
          <c:cat>
            <c:strRef>
              <c:f>'PIVOT TABLES'!$A$93:$A$99</c:f>
              <c:strCache>
                <c:ptCount val="6"/>
                <c:pt idx="0">
                  <c:v>0</c:v>
                </c:pt>
                <c:pt idx="1">
                  <c:v>1</c:v>
                </c:pt>
                <c:pt idx="2">
                  <c:v>2</c:v>
                </c:pt>
                <c:pt idx="3">
                  <c:v>3</c:v>
                </c:pt>
                <c:pt idx="4">
                  <c:v>4</c:v>
                </c:pt>
                <c:pt idx="5">
                  <c:v>5</c:v>
                </c:pt>
              </c:strCache>
            </c:strRef>
          </c:cat>
          <c:val>
            <c:numRef>
              <c:f>'PIVOT TABLES'!$C$93:$C$99</c:f>
              <c:numCache>
                <c:formatCode>General</c:formatCode>
                <c:ptCount val="6"/>
                <c:pt idx="0">
                  <c:v>5</c:v>
                </c:pt>
                <c:pt idx="1">
                  <c:v>2</c:v>
                </c:pt>
                <c:pt idx="2">
                  <c:v>5</c:v>
                </c:pt>
                <c:pt idx="3">
                  <c:v>5</c:v>
                </c:pt>
                <c:pt idx="4">
                  <c:v>6</c:v>
                </c:pt>
                <c:pt idx="5">
                  <c:v>4</c:v>
                </c:pt>
              </c:numCache>
            </c:numRef>
          </c:val>
          <c:extLst>
            <c:ext xmlns:c16="http://schemas.microsoft.com/office/drawing/2014/chart" uri="{C3380CC4-5D6E-409C-BE32-E72D297353CC}">
              <c16:uniqueId val="{00000000-0F53-49AF-9E7F-6B5781997DDC}"/>
            </c:ext>
          </c:extLst>
        </c:ser>
        <c:dLbls>
          <c:showLegendKey val="0"/>
          <c:showVal val="0"/>
          <c:showCatName val="0"/>
          <c:showSerName val="0"/>
          <c:showPercent val="0"/>
          <c:showBubbleSize val="0"/>
        </c:dLbls>
        <c:gapWidth val="150"/>
        <c:gapDepth val="0"/>
        <c:shape val="box"/>
        <c:axId val="1094014560"/>
        <c:axId val="1363000560"/>
        <c:axId val="0"/>
      </c:bar3DChart>
      <c:catAx>
        <c:axId val="1094014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00560"/>
        <c:crosses val="autoZero"/>
        <c:auto val="1"/>
        <c:lblAlgn val="ctr"/>
        <c:lblOffset val="100"/>
        <c:noMultiLvlLbl val="0"/>
      </c:catAx>
      <c:valAx>
        <c:axId val="136300056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01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388620</xdr:colOff>
      <xdr:row>0</xdr:row>
      <xdr:rowOff>167640</xdr:rowOff>
    </xdr:from>
    <xdr:to>
      <xdr:col>14</xdr:col>
      <xdr:colOff>0</xdr:colOff>
      <xdr:row>18</xdr:row>
      <xdr:rowOff>30480</xdr:rowOff>
    </xdr:to>
    <xdr:graphicFrame macro="">
      <xdr:nvGraphicFramePr>
        <xdr:cNvPr id="2" name="Chart 1">
          <a:extLst>
            <a:ext uri="{FF2B5EF4-FFF2-40B4-BE49-F238E27FC236}">
              <a16:creationId xmlns:a16="http://schemas.microsoft.com/office/drawing/2014/main" id="{E7802FD5-291F-4D20-A371-0C9FB529E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xdr:colOff>
      <xdr:row>20</xdr:row>
      <xdr:rowOff>137160</xdr:rowOff>
    </xdr:from>
    <xdr:to>
      <xdr:col>12</xdr:col>
      <xdr:colOff>411480</xdr:colOff>
      <xdr:row>35</xdr:row>
      <xdr:rowOff>137160</xdr:rowOff>
    </xdr:to>
    <xdr:graphicFrame macro="">
      <xdr:nvGraphicFramePr>
        <xdr:cNvPr id="3" name="Chart 2">
          <a:extLst>
            <a:ext uri="{FF2B5EF4-FFF2-40B4-BE49-F238E27FC236}">
              <a16:creationId xmlns:a16="http://schemas.microsoft.com/office/drawing/2014/main" id="{1F9C015C-450B-48DC-8871-158A9ACE3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327660</xdr:colOff>
      <xdr:row>37</xdr:row>
      <xdr:rowOff>121920</xdr:rowOff>
    </xdr:from>
    <xdr:to>
      <xdr:col>11</xdr:col>
      <xdr:colOff>502920</xdr:colOff>
      <xdr:row>52</xdr:row>
      <xdr:rowOff>121920</xdr:rowOff>
    </xdr:to>
    <xdr:graphicFrame macro="">
      <xdr:nvGraphicFramePr>
        <xdr:cNvPr id="4" name="Chart 3">
          <a:extLst>
            <a:ext uri="{FF2B5EF4-FFF2-40B4-BE49-F238E27FC236}">
              <a16:creationId xmlns:a16="http://schemas.microsoft.com/office/drawing/2014/main" id="{BB3D752F-9825-4036-A5D7-D917B3A74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327660</xdr:colOff>
      <xdr:row>55</xdr:row>
      <xdr:rowOff>22860</xdr:rowOff>
    </xdr:from>
    <xdr:to>
      <xdr:col>11</xdr:col>
      <xdr:colOff>502920</xdr:colOff>
      <xdr:row>70</xdr:row>
      <xdr:rowOff>22860</xdr:rowOff>
    </xdr:to>
    <xdr:graphicFrame macro="">
      <xdr:nvGraphicFramePr>
        <xdr:cNvPr id="5" name="Chart 4">
          <a:extLst>
            <a:ext uri="{FF2B5EF4-FFF2-40B4-BE49-F238E27FC236}">
              <a16:creationId xmlns:a16="http://schemas.microsoft.com/office/drawing/2014/main" id="{7385CEFE-9E2D-47FD-A4E1-0A1A45787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411480</xdr:colOff>
      <xdr:row>72</xdr:row>
      <xdr:rowOff>30480</xdr:rowOff>
    </xdr:from>
    <xdr:to>
      <xdr:col>11</xdr:col>
      <xdr:colOff>586740</xdr:colOff>
      <xdr:row>87</xdr:row>
      <xdr:rowOff>30480</xdr:rowOff>
    </xdr:to>
    <xdr:graphicFrame macro="">
      <xdr:nvGraphicFramePr>
        <xdr:cNvPr id="6" name="Chart 5">
          <a:extLst>
            <a:ext uri="{FF2B5EF4-FFF2-40B4-BE49-F238E27FC236}">
              <a16:creationId xmlns:a16="http://schemas.microsoft.com/office/drawing/2014/main" id="{28328C5D-AE50-4B26-9641-604B89328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434340</xdr:colOff>
      <xdr:row>89</xdr:row>
      <xdr:rowOff>152400</xdr:rowOff>
    </xdr:from>
    <xdr:to>
      <xdr:col>12</xdr:col>
      <xdr:colOff>0</xdr:colOff>
      <xdr:row>104</xdr:row>
      <xdr:rowOff>152400</xdr:rowOff>
    </xdr:to>
    <xdr:graphicFrame macro="">
      <xdr:nvGraphicFramePr>
        <xdr:cNvPr id="7" name="Chart 6">
          <a:extLst>
            <a:ext uri="{FF2B5EF4-FFF2-40B4-BE49-F238E27FC236}">
              <a16:creationId xmlns:a16="http://schemas.microsoft.com/office/drawing/2014/main" id="{2D0A4641-9BCF-4726-839C-A84DFE5F2F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373380</xdr:colOff>
      <xdr:row>105</xdr:row>
      <xdr:rowOff>83820</xdr:rowOff>
    </xdr:from>
    <xdr:to>
      <xdr:col>11</xdr:col>
      <xdr:colOff>548640</xdr:colOff>
      <xdr:row>120</xdr:row>
      <xdr:rowOff>83820</xdr:rowOff>
    </xdr:to>
    <xdr:graphicFrame macro="">
      <xdr:nvGraphicFramePr>
        <xdr:cNvPr id="8" name="Chart 7">
          <a:extLst>
            <a:ext uri="{FF2B5EF4-FFF2-40B4-BE49-F238E27FC236}">
              <a16:creationId xmlns:a16="http://schemas.microsoft.com/office/drawing/2014/main" id="{1F326630-4F35-4DBC-9AE2-6A942ACCA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243840</xdr:colOff>
      <xdr:row>122</xdr:row>
      <xdr:rowOff>7620</xdr:rowOff>
    </xdr:from>
    <xdr:to>
      <xdr:col>11</xdr:col>
      <xdr:colOff>419100</xdr:colOff>
      <xdr:row>137</xdr:row>
      <xdr:rowOff>7620</xdr:rowOff>
    </xdr:to>
    <xdr:graphicFrame macro="">
      <xdr:nvGraphicFramePr>
        <xdr:cNvPr id="9" name="Chart 8">
          <a:extLst>
            <a:ext uri="{FF2B5EF4-FFF2-40B4-BE49-F238E27FC236}">
              <a16:creationId xmlns:a16="http://schemas.microsoft.com/office/drawing/2014/main" id="{1E7464EC-B56F-4350-B504-34FD17104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152399</xdr:colOff>
      <xdr:row>74</xdr:row>
      <xdr:rowOff>1</xdr:rowOff>
    </xdr:to>
    <xdr:sp macro="" textlink="">
      <xdr:nvSpPr>
        <xdr:cNvPr id="3" name="Rectangle 2">
          <a:extLst>
            <a:ext uri="{FF2B5EF4-FFF2-40B4-BE49-F238E27FC236}">
              <a16:creationId xmlns:a16="http://schemas.microsoft.com/office/drawing/2014/main" id="{ABFE05D2-6B3A-45B2-920D-B8790777500A}"/>
            </a:ext>
          </a:extLst>
        </xdr:cNvPr>
        <xdr:cNvSpPr/>
      </xdr:nvSpPr>
      <xdr:spPr>
        <a:xfrm>
          <a:off x="0" y="0"/>
          <a:ext cx="3826932" cy="13783734"/>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244929</xdr:colOff>
      <xdr:row>0</xdr:row>
      <xdr:rowOff>1</xdr:rowOff>
    </xdr:from>
    <xdr:to>
      <xdr:col>49</xdr:col>
      <xdr:colOff>381000</xdr:colOff>
      <xdr:row>74</xdr:row>
      <xdr:rowOff>84668</xdr:rowOff>
    </xdr:to>
    <xdr:sp macro="" textlink="">
      <xdr:nvSpPr>
        <xdr:cNvPr id="9" name="Rectangle 8">
          <a:extLst>
            <a:ext uri="{FF2B5EF4-FFF2-40B4-BE49-F238E27FC236}">
              <a16:creationId xmlns:a16="http://schemas.microsoft.com/office/drawing/2014/main" id="{026234A5-5734-4B31-AFA7-C67A0171D643}"/>
            </a:ext>
          </a:extLst>
        </xdr:cNvPr>
        <xdr:cNvSpPr/>
      </xdr:nvSpPr>
      <xdr:spPr>
        <a:xfrm>
          <a:off x="3309862" y="1"/>
          <a:ext cx="27568071" cy="13868400"/>
        </a:xfrm>
        <a:prstGeom prst="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3</xdr:col>
      <xdr:colOff>0</xdr:colOff>
      <xdr:row>0</xdr:row>
      <xdr:rowOff>0</xdr:rowOff>
    </xdr:from>
    <xdr:to>
      <xdr:col>3</xdr:col>
      <xdr:colOff>45719</xdr:colOff>
      <xdr:row>0</xdr:row>
      <xdr:rowOff>0</xdr:rowOff>
    </xdr:to>
    <xdr:sp macro="" textlink="">
      <xdr:nvSpPr>
        <xdr:cNvPr id="2049" name="Text Box 1">
          <a:extLst>
            <a:ext uri="{FF2B5EF4-FFF2-40B4-BE49-F238E27FC236}">
              <a16:creationId xmlns:a16="http://schemas.microsoft.com/office/drawing/2014/main" id="{E4DEF7B6-30EB-49EC-8FA0-129CD64C1EE8}"/>
            </a:ext>
          </a:extLst>
        </xdr:cNvPr>
        <xdr:cNvSpPr txBox="1">
          <a:spLocks noChangeArrowheads="1"/>
        </xdr:cNvSpPr>
      </xdr:nvSpPr>
      <xdr:spPr bwMode="auto">
        <a:xfrm flipV="1">
          <a:off x="2471351" y="0"/>
          <a:ext cx="45719" cy="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Total Customers</a:t>
          </a:r>
        </a:p>
      </xdr:txBody>
    </xdr:sp>
    <xdr:clientData/>
  </xdr:twoCellAnchor>
  <xdr:twoCellAnchor>
    <xdr:from>
      <xdr:col>0</xdr:col>
      <xdr:colOff>0</xdr:colOff>
      <xdr:row>4</xdr:row>
      <xdr:rowOff>148684</xdr:rowOff>
    </xdr:from>
    <xdr:to>
      <xdr:col>4</xdr:col>
      <xdr:colOff>427463</xdr:colOff>
      <xdr:row>7</xdr:row>
      <xdr:rowOff>1</xdr:rowOff>
    </xdr:to>
    <xdr:sp macro="" textlink="">
      <xdr:nvSpPr>
        <xdr:cNvPr id="12" name="Rectangle 11">
          <a:extLst>
            <a:ext uri="{FF2B5EF4-FFF2-40B4-BE49-F238E27FC236}">
              <a16:creationId xmlns:a16="http://schemas.microsoft.com/office/drawing/2014/main" id="{7EC8A5B7-36C4-4F0B-968B-A3D9837A8161}"/>
            </a:ext>
          </a:extLst>
        </xdr:cNvPr>
        <xdr:cNvSpPr/>
      </xdr:nvSpPr>
      <xdr:spPr>
        <a:xfrm>
          <a:off x="0" y="892099"/>
          <a:ext cx="3512634" cy="4088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latin typeface="+mn-lt"/>
            </a:rPr>
            <a:t>Total Customers 👥</a:t>
          </a:r>
          <a:r>
            <a:rPr lang="en-IN" sz="2400" b="1">
              <a:ln>
                <a:gradFill>
                  <a:gsLst>
                    <a:gs pos="0">
                      <a:schemeClr val="bg1">
                        <a:lumMod val="75000"/>
                      </a:schemeClr>
                    </a:gs>
                    <a:gs pos="100000">
                      <a:schemeClr val="accent1">
                        <a:lumMod val="30000"/>
                        <a:lumOff val="70000"/>
                      </a:schemeClr>
                    </a:gs>
                  </a:gsLst>
                  <a:lin ang="5400000" scaled="1"/>
                </a:gradFill>
              </a:ln>
              <a:latin typeface="+mn-lt"/>
              <a:cs typeface="Times New Roman" panose="02020603050405020304" pitchFamily="18" charset="0"/>
            </a:rPr>
            <a:t>:</a:t>
          </a:r>
        </a:p>
      </xdr:txBody>
    </xdr:sp>
    <xdr:clientData/>
  </xdr:twoCellAnchor>
  <xdr:twoCellAnchor>
    <xdr:from>
      <xdr:col>0</xdr:col>
      <xdr:colOff>0</xdr:colOff>
      <xdr:row>6</xdr:row>
      <xdr:rowOff>130098</xdr:rowOff>
    </xdr:from>
    <xdr:to>
      <xdr:col>1</xdr:col>
      <xdr:colOff>1109869</xdr:colOff>
      <xdr:row>8</xdr:row>
      <xdr:rowOff>167268</xdr:rowOff>
    </xdr:to>
    <xdr:sp macro="" textlink="">
      <xdr:nvSpPr>
        <xdr:cNvPr id="13" name="Rectangle 12">
          <a:extLst>
            <a:ext uri="{FF2B5EF4-FFF2-40B4-BE49-F238E27FC236}">
              <a16:creationId xmlns:a16="http://schemas.microsoft.com/office/drawing/2014/main" id="{20F4419D-8BB8-4686-BE76-6AB0F678FC59}"/>
            </a:ext>
          </a:extLst>
        </xdr:cNvPr>
        <xdr:cNvSpPr/>
      </xdr:nvSpPr>
      <xdr:spPr>
        <a:xfrm>
          <a:off x="0" y="1245220"/>
          <a:ext cx="1593089" cy="4088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1000</a:t>
          </a:r>
        </a:p>
      </xdr:txBody>
    </xdr:sp>
    <xdr:clientData/>
  </xdr:twoCellAnchor>
  <xdr:twoCellAnchor>
    <xdr:from>
      <xdr:col>0</xdr:col>
      <xdr:colOff>0</xdr:colOff>
      <xdr:row>7</xdr:row>
      <xdr:rowOff>16934</xdr:rowOff>
    </xdr:from>
    <xdr:to>
      <xdr:col>4</xdr:col>
      <xdr:colOff>67734</xdr:colOff>
      <xdr:row>15</xdr:row>
      <xdr:rowOff>135467</xdr:rowOff>
    </xdr:to>
    <xdr:sp macro="" textlink="">
      <xdr:nvSpPr>
        <xdr:cNvPr id="15" name="Rectangle 14">
          <a:extLst>
            <a:ext uri="{FF2B5EF4-FFF2-40B4-BE49-F238E27FC236}">
              <a16:creationId xmlns:a16="http://schemas.microsoft.com/office/drawing/2014/main" id="{53E87B95-9E1F-4771-A869-8892C0CF3FDD}"/>
            </a:ext>
          </a:extLst>
        </xdr:cNvPr>
        <xdr:cNvSpPr/>
      </xdr:nvSpPr>
      <xdr:spPr>
        <a:xfrm>
          <a:off x="0" y="1320801"/>
          <a:ext cx="3132667" cy="16086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1"/>
        </a:p>
        <a:p>
          <a:pPr algn="l"/>
          <a:endParaRPr lang="en-IN" sz="2400" b="1"/>
        </a:p>
        <a:p>
          <a:pPr algn="l"/>
          <a:r>
            <a:rPr lang="en-IN" sz="2400" b="1"/>
            <a:t>Average Income 💰</a:t>
          </a:r>
          <a:r>
            <a:rPr lang="en-IN" sz="2400"/>
            <a:t>:</a:t>
          </a:r>
        </a:p>
      </xdr:txBody>
    </xdr:sp>
    <xdr:clientData/>
  </xdr:twoCellAnchor>
  <xdr:twoCellAnchor>
    <xdr:from>
      <xdr:col>0</xdr:col>
      <xdr:colOff>0</xdr:colOff>
      <xdr:row>9</xdr:row>
      <xdr:rowOff>50800</xdr:rowOff>
    </xdr:from>
    <xdr:to>
      <xdr:col>1</xdr:col>
      <xdr:colOff>1085022</xdr:colOff>
      <xdr:row>18</xdr:row>
      <xdr:rowOff>50800</xdr:rowOff>
    </xdr:to>
    <xdr:sp macro="" textlink="">
      <xdr:nvSpPr>
        <xdr:cNvPr id="16" name="Rectangle 15">
          <a:extLst>
            <a:ext uri="{FF2B5EF4-FFF2-40B4-BE49-F238E27FC236}">
              <a16:creationId xmlns:a16="http://schemas.microsoft.com/office/drawing/2014/main" id="{91E32AB7-4766-4009-8A13-E38493E5BF91}"/>
            </a:ext>
          </a:extLst>
        </xdr:cNvPr>
        <xdr:cNvSpPr/>
      </xdr:nvSpPr>
      <xdr:spPr>
        <a:xfrm>
          <a:off x="0" y="1727200"/>
          <a:ext cx="1559155" cy="1676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a:p>
          <a:pPr algn="l"/>
          <a:endParaRPr lang="en-IN" sz="2400"/>
        </a:p>
        <a:p>
          <a:pPr algn="l"/>
          <a:r>
            <a:rPr lang="en-IN" sz="2400"/>
            <a:t>56000</a:t>
          </a:r>
        </a:p>
      </xdr:txBody>
    </xdr:sp>
    <xdr:clientData/>
  </xdr:twoCellAnchor>
  <xdr:twoCellAnchor>
    <xdr:from>
      <xdr:col>0</xdr:col>
      <xdr:colOff>0</xdr:colOff>
      <xdr:row>13</xdr:row>
      <xdr:rowOff>84665</xdr:rowOff>
    </xdr:from>
    <xdr:to>
      <xdr:col>4</xdr:col>
      <xdr:colOff>152399</xdr:colOff>
      <xdr:row>20</xdr:row>
      <xdr:rowOff>101598</xdr:rowOff>
    </xdr:to>
    <xdr:sp macro="" textlink="">
      <xdr:nvSpPr>
        <xdr:cNvPr id="17" name="Rectangle 16">
          <a:extLst>
            <a:ext uri="{FF2B5EF4-FFF2-40B4-BE49-F238E27FC236}">
              <a16:creationId xmlns:a16="http://schemas.microsoft.com/office/drawing/2014/main" id="{E8D44B7D-AA17-483D-96DF-A8DCB08C4C74}"/>
            </a:ext>
          </a:extLst>
        </xdr:cNvPr>
        <xdr:cNvSpPr/>
      </xdr:nvSpPr>
      <xdr:spPr>
        <a:xfrm>
          <a:off x="0" y="2494233"/>
          <a:ext cx="3241588" cy="131439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1"/>
        </a:p>
        <a:p>
          <a:pPr algn="l"/>
          <a:endParaRPr lang="en-IN" sz="2400" b="1"/>
        </a:p>
        <a:p>
          <a:pPr algn="l"/>
          <a:r>
            <a:rPr lang="en-IN" sz="2400" b="1"/>
            <a:t>Total Bikes Bought 🚴</a:t>
          </a:r>
          <a:r>
            <a:rPr lang="en-IN" sz="2400"/>
            <a:t>:</a:t>
          </a:r>
        </a:p>
      </xdr:txBody>
    </xdr:sp>
    <xdr:clientData/>
  </xdr:twoCellAnchor>
  <xdr:twoCellAnchor>
    <xdr:from>
      <xdr:col>0</xdr:col>
      <xdr:colOff>0</xdr:colOff>
      <xdr:row>15</xdr:row>
      <xdr:rowOff>62280</xdr:rowOff>
    </xdr:from>
    <xdr:to>
      <xdr:col>1</xdr:col>
      <xdr:colOff>1151283</xdr:colOff>
      <xdr:row>22</xdr:row>
      <xdr:rowOff>16933</xdr:rowOff>
    </xdr:to>
    <xdr:sp macro="" textlink="">
      <xdr:nvSpPr>
        <xdr:cNvPr id="18" name="Rectangle 17">
          <a:extLst>
            <a:ext uri="{FF2B5EF4-FFF2-40B4-BE49-F238E27FC236}">
              <a16:creationId xmlns:a16="http://schemas.microsoft.com/office/drawing/2014/main" id="{EC62FA9F-67E4-4C50-862A-3F3B47C654AA}"/>
            </a:ext>
          </a:extLst>
        </xdr:cNvPr>
        <xdr:cNvSpPr/>
      </xdr:nvSpPr>
      <xdr:spPr>
        <a:xfrm>
          <a:off x="0" y="2783709"/>
          <a:ext cx="1622997" cy="12246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a:p>
          <a:pPr algn="l"/>
          <a:endParaRPr lang="en-IN" sz="2400"/>
        </a:p>
        <a:p>
          <a:pPr algn="l"/>
          <a:r>
            <a:rPr lang="en-IN" sz="2400"/>
            <a:t>480</a:t>
          </a:r>
        </a:p>
      </xdr:txBody>
    </xdr:sp>
    <xdr:clientData/>
  </xdr:twoCellAnchor>
  <xdr:twoCellAnchor>
    <xdr:from>
      <xdr:col>0</xdr:col>
      <xdr:colOff>0</xdr:colOff>
      <xdr:row>17</xdr:row>
      <xdr:rowOff>121227</xdr:rowOff>
    </xdr:from>
    <xdr:to>
      <xdr:col>4</xdr:col>
      <xdr:colOff>67733</xdr:colOff>
      <xdr:row>29</xdr:row>
      <xdr:rowOff>108857</xdr:rowOff>
    </xdr:to>
    <xdr:sp macro="" textlink="">
      <xdr:nvSpPr>
        <xdr:cNvPr id="19" name="Rectangle 18">
          <a:extLst>
            <a:ext uri="{FF2B5EF4-FFF2-40B4-BE49-F238E27FC236}">
              <a16:creationId xmlns:a16="http://schemas.microsoft.com/office/drawing/2014/main" id="{784D88F5-85B8-4180-9A9C-C07CC3E4CC54}"/>
            </a:ext>
          </a:extLst>
        </xdr:cNvPr>
        <xdr:cNvSpPr/>
      </xdr:nvSpPr>
      <xdr:spPr>
        <a:xfrm>
          <a:off x="0" y="3359727"/>
          <a:ext cx="3150369" cy="227363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2400" b="1">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2400" b="1">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2400" b="1">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2400" b="1">
              <a:solidFill>
                <a:schemeClr val="lt1"/>
              </a:solidFill>
              <a:effectLst/>
              <a:latin typeface="+mn-lt"/>
              <a:ea typeface="+mn-ea"/>
              <a:cs typeface="+mn-cs"/>
            </a:rPr>
            <a:t>Bike Conversion 🚲:</a:t>
          </a:r>
          <a:endParaRPr lang="en-IN" sz="2400">
            <a:effectLst/>
          </a:endParaRPr>
        </a:p>
        <a:p>
          <a:pPr algn="l"/>
          <a:r>
            <a:rPr lang="en-IN" sz="2400"/>
            <a:t>6</a:t>
          </a:r>
        </a:p>
      </xdr:txBody>
    </xdr:sp>
    <xdr:clientData/>
  </xdr:twoCellAnchor>
  <xdr:twoCellAnchor>
    <xdr:from>
      <xdr:col>3</xdr:col>
      <xdr:colOff>0</xdr:colOff>
      <xdr:row>0</xdr:row>
      <xdr:rowOff>0</xdr:rowOff>
    </xdr:from>
    <xdr:to>
      <xdr:col>3</xdr:col>
      <xdr:colOff>45719</xdr:colOff>
      <xdr:row>0</xdr:row>
      <xdr:rowOff>45719</xdr:rowOff>
    </xdr:to>
    <xdr:sp macro="" textlink="">
      <xdr:nvSpPr>
        <xdr:cNvPr id="2050" name="Text Box 2">
          <a:extLst>
            <a:ext uri="{FF2B5EF4-FFF2-40B4-BE49-F238E27FC236}">
              <a16:creationId xmlns:a16="http://schemas.microsoft.com/office/drawing/2014/main" id="{64291FF1-638A-4796-BBF2-4B56CC534551}"/>
            </a:ext>
          </a:extLst>
        </xdr:cNvPr>
        <xdr:cNvSpPr txBox="1">
          <a:spLocks noChangeArrowheads="1"/>
        </xdr:cNvSpPr>
      </xdr:nvSpPr>
      <xdr:spPr bwMode="auto">
        <a:xfrm>
          <a:off x="2468217" y="0"/>
          <a:ext cx="45719" cy="4571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0</xdr:col>
      <xdr:colOff>0</xdr:colOff>
      <xdr:row>23</xdr:row>
      <xdr:rowOff>138544</xdr:rowOff>
    </xdr:from>
    <xdr:to>
      <xdr:col>1</xdr:col>
      <xdr:colOff>1085022</xdr:colOff>
      <xdr:row>29</xdr:row>
      <xdr:rowOff>101599</xdr:rowOff>
    </xdr:to>
    <xdr:sp macro="" textlink="">
      <xdr:nvSpPr>
        <xdr:cNvPr id="20" name="Rectangle 19">
          <a:extLst>
            <a:ext uri="{FF2B5EF4-FFF2-40B4-BE49-F238E27FC236}">
              <a16:creationId xmlns:a16="http://schemas.microsoft.com/office/drawing/2014/main" id="{37BA04B5-6F69-4CA4-A277-5CF30036BD41}"/>
            </a:ext>
          </a:extLst>
        </xdr:cNvPr>
        <xdr:cNvSpPr/>
      </xdr:nvSpPr>
      <xdr:spPr>
        <a:xfrm>
          <a:off x="0" y="4520044"/>
          <a:ext cx="1569931" cy="11060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a:p>
          <a:pPr algn="l"/>
          <a:r>
            <a:rPr lang="en-IN" sz="2400"/>
            <a:t>48%</a:t>
          </a:r>
        </a:p>
      </xdr:txBody>
    </xdr:sp>
    <xdr:clientData/>
  </xdr:twoCellAnchor>
  <xdr:twoCellAnchor>
    <xdr:from>
      <xdr:col>4</xdr:col>
      <xdr:colOff>277526</xdr:colOff>
      <xdr:row>36</xdr:row>
      <xdr:rowOff>87212</xdr:rowOff>
    </xdr:from>
    <xdr:to>
      <xdr:col>18</xdr:col>
      <xdr:colOff>186268</xdr:colOff>
      <xdr:row>65</xdr:row>
      <xdr:rowOff>0</xdr:rowOff>
    </xdr:to>
    <xdr:graphicFrame macro="">
      <xdr:nvGraphicFramePr>
        <xdr:cNvPr id="23" name="Chart 22">
          <a:extLst>
            <a:ext uri="{FF2B5EF4-FFF2-40B4-BE49-F238E27FC236}">
              <a16:creationId xmlns:a16="http://schemas.microsoft.com/office/drawing/2014/main" id="{FC4E858F-530F-4C6E-841B-14A5758C7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35453</xdr:colOff>
      <xdr:row>36</xdr:row>
      <xdr:rowOff>102122</xdr:rowOff>
    </xdr:from>
    <xdr:to>
      <xdr:col>34</xdr:col>
      <xdr:colOff>33867</xdr:colOff>
      <xdr:row>65</xdr:row>
      <xdr:rowOff>16932</xdr:rowOff>
    </xdr:to>
    <xdr:graphicFrame macro="">
      <xdr:nvGraphicFramePr>
        <xdr:cNvPr id="24" name="Chart 23">
          <a:extLst>
            <a:ext uri="{FF2B5EF4-FFF2-40B4-BE49-F238E27FC236}">
              <a16:creationId xmlns:a16="http://schemas.microsoft.com/office/drawing/2014/main" id="{EA04C445-A6DE-4E46-9E3A-E1E3DE507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273861</xdr:colOff>
      <xdr:row>8</xdr:row>
      <xdr:rowOff>146245</xdr:rowOff>
    </xdr:from>
    <xdr:to>
      <xdr:col>18</xdr:col>
      <xdr:colOff>135467</xdr:colOff>
      <xdr:row>35</xdr:row>
      <xdr:rowOff>50800</xdr:rowOff>
    </xdr:to>
    <xdr:graphicFrame macro="">
      <xdr:nvGraphicFramePr>
        <xdr:cNvPr id="25" name="Chart 24">
          <a:extLst>
            <a:ext uri="{FF2B5EF4-FFF2-40B4-BE49-F238E27FC236}">
              <a16:creationId xmlns:a16="http://schemas.microsoft.com/office/drawing/2014/main" id="{0BC77554-71B0-4C22-8008-6DEDE6513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524927</xdr:colOff>
      <xdr:row>8</xdr:row>
      <xdr:rowOff>142346</xdr:rowOff>
    </xdr:from>
    <xdr:to>
      <xdr:col>49</xdr:col>
      <xdr:colOff>389466</xdr:colOff>
      <xdr:row>34</xdr:row>
      <xdr:rowOff>135467</xdr:rowOff>
    </xdr:to>
    <xdr:graphicFrame macro="">
      <xdr:nvGraphicFramePr>
        <xdr:cNvPr id="26" name="Chart 25">
          <a:extLst>
            <a:ext uri="{FF2B5EF4-FFF2-40B4-BE49-F238E27FC236}">
              <a16:creationId xmlns:a16="http://schemas.microsoft.com/office/drawing/2014/main" id="{C68FEE36-17A4-4582-91A3-561D00231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497963</xdr:colOff>
      <xdr:row>37</xdr:row>
      <xdr:rowOff>0</xdr:rowOff>
    </xdr:from>
    <xdr:to>
      <xdr:col>49</xdr:col>
      <xdr:colOff>381000</xdr:colOff>
      <xdr:row>64</xdr:row>
      <xdr:rowOff>101600</xdr:rowOff>
    </xdr:to>
    <xdr:graphicFrame macro="">
      <xdr:nvGraphicFramePr>
        <xdr:cNvPr id="27" name="Chart 26">
          <a:extLst>
            <a:ext uri="{FF2B5EF4-FFF2-40B4-BE49-F238E27FC236}">
              <a16:creationId xmlns:a16="http://schemas.microsoft.com/office/drawing/2014/main" id="{64BA37EA-C271-4B30-8DF1-EB2BA7501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16934</xdr:colOff>
      <xdr:row>8</xdr:row>
      <xdr:rowOff>135466</xdr:rowOff>
    </xdr:from>
    <xdr:to>
      <xdr:col>34</xdr:col>
      <xdr:colOff>152401</xdr:colOff>
      <xdr:row>34</xdr:row>
      <xdr:rowOff>186265</xdr:rowOff>
    </xdr:to>
    <xdr:graphicFrame macro="">
      <xdr:nvGraphicFramePr>
        <xdr:cNvPr id="28" name="Chart 27">
          <a:extLst>
            <a:ext uri="{FF2B5EF4-FFF2-40B4-BE49-F238E27FC236}">
              <a16:creationId xmlns:a16="http://schemas.microsoft.com/office/drawing/2014/main" id="{A216B858-80DE-48F0-995D-791A0845B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27095</xdr:colOff>
      <xdr:row>31</xdr:row>
      <xdr:rowOff>33866</xdr:rowOff>
    </xdr:from>
    <xdr:to>
      <xdr:col>4</xdr:col>
      <xdr:colOff>203200</xdr:colOff>
      <xdr:row>39</xdr:row>
      <xdr:rowOff>118533</xdr:rowOff>
    </xdr:to>
    <mc:AlternateContent xmlns:mc="http://schemas.openxmlformats.org/markup-compatibility/2006" xmlns:a14="http://schemas.microsoft.com/office/drawing/2010/main">
      <mc:Choice Requires="a14">
        <xdr:graphicFrame macro="">
          <xdr:nvGraphicFramePr>
            <xdr:cNvPr id="35" name="Marital status">
              <a:extLst>
                <a:ext uri="{FF2B5EF4-FFF2-40B4-BE49-F238E27FC236}">
                  <a16:creationId xmlns:a16="http://schemas.microsoft.com/office/drawing/2014/main" id="{3F7B9E3B-D909-4D94-8E60-6911074C7CF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7095" y="5939366"/>
              <a:ext cx="3258741" cy="1608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13138</xdr:colOff>
      <xdr:row>40</xdr:row>
      <xdr:rowOff>156813</xdr:rowOff>
    </xdr:from>
    <xdr:to>
      <xdr:col>4</xdr:col>
      <xdr:colOff>220133</xdr:colOff>
      <xdr:row>49</xdr:row>
      <xdr:rowOff>152400</xdr:rowOff>
    </xdr:to>
    <mc:AlternateContent xmlns:mc="http://schemas.openxmlformats.org/markup-compatibility/2006" xmlns:a14="http://schemas.microsoft.com/office/drawing/2010/main">
      <mc:Choice Requires="a14">
        <xdr:graphicFrame macro="">
          <xdr:nvGraphicFramePr>
            <xdr:cNvPr id="36" name="Region">
              <a:extLst>
                <a:ext uri="{FF2B5EF4-FFF2-40B4-BE49-F238E27FC236}">
                  <a16:creationId xmlns:a16="http://schemas.microsoft.com/office/drawing/2014/main" id="{503F5E66-04D0-4592-B1AC-49E492B596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38" y="7776813"/>
              <a:ext cx="3289631" cy="1710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33867</xdr:colOff>
      <xdr:row>50</xdr:row>
      <xdr:rowOff>171940</xdr:rowOff>
    </xdr:from>
    <xdr:to>
      <xdr:col>4</xdr:col>
      <xdr:colOff>237067</xdr:colOff>
      <xdr:row>60</xdr:row>
      <xdr:rowOff>82378</xdr:rowOff>
    </xdr:to>
    <mc:AlternateContent xmlns:mc="http://schemas.openxmlformats.org/markup-compatibility/2006" xmlns:a14="http://schemas.microsoft.com/office/drawing/2010/main">
      <mc:Choice Requires="a14">
        <xdr:graphicFrame macro="">
          <xdr:nvGraphicFramePr>
            <xdr:cNvPr id="37" name="Occupation">
              <a:extLst>
                <a:ext uri="{FF2B5EF4-FFF2-40B4-BE49-F238E27FC236}">
                  <a16:creationId xmlns:a16="http://schemas.microsoft.com/office/drawing/2014/main" id="{C2D8C51F-3265-4914-9FC7-645300D5DD1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33867" y="9696940"/>
              <a:ext cx="3285836" cy="1815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254000</xdr:colOff>
      <xdr:row>0</xdr:row>
      <xdr:rowOff>50800</xdr:rowOff>
    </xdr:from>
    <xdr:to>
      <xdr:col>49</xdr:col>
      <xdr:colOff>406400</xdr:colOff>
      <xdr:row>8</xdr:row>
      <xdr:rowOff>135467</xdr:rowOff>
    </xdr:to>
    <xdr:sp macro="" textlink="">
      <xdr:nvSpPr>
        <xdr:cNvPr id="2" name="Rectangle 1">
          <a:extLst>
            <a:ext uri="{FF2B5EF4-FFF2-40B4-BE49-F238E27FC236}">
              <a16:creationId xmlns:a16="http://schemas.microsoft.com/office/drawing/2014/main" id="{B8A92B6E-2C88-4A38-9E12-1E025D7C86B7}"/>
            </a:ext>
          </a:extLst>
        </xdr:cNvPr>
        <xdr:cNvSpPr/>
      </xdr:nvSpPr>
      <xdr:spPr>
        <a:xfrm>
          <a:off x="3318933" y="50800"/>
          <a:ext cx="27584400" cy="157480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8000" b="1" cap="none" spc="0">
              <a:ln w="22225">
                <a:solidFill>
                  <a:schemeClr val="accent2"/>
                </a:solidFill>
                <a:prstDash val="solid"/>
              </a:ln>
              <a:solidFill>
                <a:schemeClr val="bg1"/>
              </a:solidFill>
              <a:effectLst>
                <a:glow rad="101600">
                  <a:schemeClr val="accent2">
                    <a:satMod val="175000"/>
                    <a:alpha val="40000"/>
                  </a:schemeClr>
                </a:glow>
                <a:outerShdw blurRad="50800" dist="38100" dir="2700000" algn="tl" rotWithShape="0">
                  <a:prstClr val="black">
                    <a:alpha val="40000"/>
                  </a:prstClr>
                </a:outerShdw>
              </a:effectLst>
            </a:rPr>
            <a:t>BIKE BUYERS DASHBOARD</a:t>
          </a:r>
        </a:p>
      </xdr:txBody>
    </xdr:sp>
    <xdr:clientData/>
  </xdr:twoCellAnchor>
  <xdr:twoCellAnchor editAs="oneCell">
    <xdr:from>
      <xdr:col>15</xdr:col>
      <xdr:colOff>82378</xdr:colOff>
      <xdr:row>0</xdr:row>
      <xdr:rowOff>0</xdr:rowOff>
    </xdr:from>
    <xdr:to>
      <xdr:col>17</xdr:col>
      <xdr:colOff>561202</xdr:colOff>
      <xdr:row>9</xdr:row>
      <xdr:rowOff>46338</xdr:rowOff>
    </xdr:to>
    <xdr:pic>
      <xdr:nvPicPr>
        <xdr:cNvPr id="6" name="Picture 5">
          <a:extLst>
            <a:ext uri="{FF2B5EF4-FFF2-40B4-BE49-F238E27FC236}">
              <a16:creationId xmlns:a16="http://schemas.microsoft.com/office/drawing/2014/main" id="{79E7E679-22A3-4392-A887-5FF29B7BF39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967783" y="0"/>
          <a:ext cx="1714500" cy="1714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kash Kumar" refreshedDate="46112.424433101849" createdVersion="6" refreshedVersion="6" minRefreshableVersion="3" recordCount="1026" xr:uid="{A803E968-A2AD-42DF-A2A0-59D0F8D302F7}">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ent"/>
      </sharedItems>
    </cacheField>
    <cacheField name="Purchased Bike" numFmtId="0">
      <sharedItems count="2">
        <s v="No"/>
        <s v="Yes"/>
      </sharedItems>
    </cacheField>
  </cacheFields>
  <extLst>
    <ext xmlns:x14="http://schemas.microsoft.com/office/spreadsheetml/2009/9/main" uri="{725AE2AE-9491-48be-B2B4-4EB974FC3084}">
      <x14:pivotCacheDefinition pivotCacheId="2801639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kash Kumar" refreshedDate="46112.424433796295" createdVersion="6" refreshedVersion="6" minRefreshableVersion="3" recordCount="1027" xr:uid="{7CF3FC40-0C71-4702-A9FE-00D3BD03A2D3}">
  <cacheSource type="worksheet">
    <worksheetSource ref="A1:N1048576" sheet="dataset"/>
  </cacheSource>
  <cacheFields count="14">
    <cacheField name="ID" numFmtId="0">
      <sharedItems containsString="0" containsBlank="1" containsNumber="1" containsInteger="1" minValue="11000" maxValue="29447"/>
    </cacheField>
    <cacheField name="Marital status" numFmtId="0">
      <sharedItems containsBlank="1"/>
    </cacheField>
    <cacheField name="Gender" numFmtId="0">
      <sharedItems containsBlank="1" count="3">
        <s v="Female"/>
        <s v="Male"/>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acheField>
    <cacheField name="Age" numFmtId="0">
      <sharedItems containsString="0" containsBlank="1" containsNumber="1" containsInteger="1" minValue="25" maxValue="89"/>
    </cacheField>
    <cacheField name="Age Brackets" numFmtId="0">
      <sharedItems containsBlank="1"/>
    </cacheField>
    <cacheField name="Purchased Bike"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x v="0"/>
    <x v="0"/>
    <x v="0"/>
    <x v="0"/>
    <x v="0"/>
    <x v="0"/>
    <x v="0"/>
    <n v="42"/>
    <x v="0"/>
    <x v="0"/>
  </r>
  <r>
    <n v="24107"/>
    <x v="0"/>
    <x v="1"/>
    <n v="30000"/>
    <x v="1"/>
    <x v="1"/>
    <x v="1"/>
    <x v="0"/>
    <x v="1"/>
    <x v="0"/>
    <x v="0"/>
    <n v="43"/>
    <x v="0"/>
    <x v="0"/>
  </r>
  <r>
    <n v="14177"/>
    <x v="0"/>
    <x v="1"/>
    <n v="80000"/>
    <x v="2"/>
    <x v="1"/>
    <x v="2"/>
    <x v="1"/>
    <x v="2"/>
    <x v="1"/>
    <x v="0"/>
    <n v="60"/>
    <x v="1"/>
    <x v="0"/>
  </r>
  <r>
    <n v="24381"/>
    <x v="1"/>
    <x v="1"/>
    <n v="70000"/>
    <x v="3"/>
    <x v="0"/>
    <x v="2"/>
    <x v="0"/>
    <x v="1"/>
    <x v="2"/>
    <x v="1"/>
    <n v="41"/>
    <x v="0"/>
    <x v="1"/>
  </r>
  <r>
    <n v="25597"/>
    <x v="1"/>
    <x v="1"/>
    <n v="30000"/>
    <x v="3"/>
    <x v="0"/>
    <x v="1"/>
    <x v="1"/>
    <x v="0"/>
    <x v="0"/>
    <x v="0"/>
    <n v="36"/>
    <x v="0"/>
    <x v="1"/>
  </r>
  <r>
    <n v="13507"/>
    <x v="0"/>
    <x v="0"/>
    <n v="10000"/>
    <x v="4"/>
    <x v="1"/>
    <x v="3"/>
    <x v="0"/>
    <x v="0"/>
    <x v="3"/>
    <x v="0"/>
    <n v="50"/>
    <x v="0"/>
    <x v="0"/>
  </r>
  <r>
    <n v="27974"/>
    <x v="1"/>
    <x v="1"/>
    <n v="160000"/>
    <x v="4"/>
    <x v="2"/>
    <x v="4"/>
    <x v="0"/>
    <x v="3"/>
    <x v="0"/>
    <x v="1"/>
    <n v="33"/>
    <x v="0"/>
    <x v="1"/>
  </r>
  <r>
    <n v="19364"/>
    <x v="0"/>
    <x v="1"/>
    <n v="40000"/>
    <x v="0"/>
    <x v="0"/>
    <x v="0"/>
    <x v="0"/>
    <x v="0"/>
    <x v="0"/>
    <x v="0"/>
    <n v="43"/>
    <x v="0"/>
    <x v="1"/>
  </r>
  <r>
    <n v="22155"/>
    <x v="0"/>
    <x v="1"/>
    <n v="20000"/>
    <x v="4"/>
    <x v="3"/>
    <x v="1"/>
    <x v="0"/>
    <x v="2"/>
    <x v="2"/>
    <x v="1"/>
    <n v="58"/>
    <x v="1"/>
    <x v="0"/>
  </r>
  <r>
    <n v="19280"/>
    <x v="0"/>
    <x v="1"/>
    <n v="120000"/>
    <x v="4"/>
    <x v="1"/>
    <x v="3"/>
    <x v="0"/>
    <x v="1"/>
    <x v="0"/>
    <x v="0"/>
    <n v="40"/>
    <x v="0"/>
    <x v="1"/>
  </r>
  <r>
    <n v="22173"/>
    <x v="0"/>
    <x v="0"/>
    <n v="30000"/>
    <x v="1"/>
    <x v="2"/>
    <x v="0"/>
    <x v="1"/>
    <x v="2"/>
    <x v="3"/>
    <x v="1"/>
    <n v="54"/>
    <x v="0"/>
    <x v="1"/>
  </r>
  <r>
    <n v="12697"/>
    <x v="1"/>
    <x v="0"/>
    <n v="90000"/>
    <x v="3"/>
    <x v="0"/>
    <x v="2"/>
    <x v="1"/>
    <x v="3"/>
    <x v="4"/>
    <x v="1"/>
    <n v="36"/>
    <x v="0"/>
    <x v="0"/>
  </r>
  <r>
    <n v="11434"/>
    <x v="0"/>
    <x v="1"/>
    <n v="170000"/>
    <x v="2"/>
    <x v="1"/>
    <x v="2"/>
    <x v="0"/>
    <x v="0"/>
    <x v="0"/>
    <x v="0"/>
    <n v="55"/>
    <x v="0"/>
    <x v="0"/>
  </r>
  <r>
    <n v="25323"/>
    <x v="0"/>
    <x v="1"/>
    <n v="40000"/>
    <x v="4"/>
    <x v="1"/>
    <x v="1"/>
    <x v="0"/>
    <x v="1"/>
    <x v="3"/>
    <x v="0"/>
    <n v="35"/>
    <x v="0"/>
    <x v="1"/>
  </r>
  <r>
    <n v="23542"/>
    <x v="1"/>
    <x v="1"/>
    <n v="60000"/>
    <x v="0"/>
    <x v="1"/>
    <x v="0"/>
    <x v="1"/>
    <x v="1"/>
    <x v="0"/>
    <x v="1"/>
    <n v="45"/>
    <x v="0"/>
    <x v="1"/>
  </r>
  <r>
    <n v="20870"/>
    <x v="1"/>
    <x v="0"/>
    <n v="10000"/>
    <x v="4"/>
    <x v="2"/>
    <x v="3"/>
    <x v="0"/>
    <x v="1"/>
    <x v="0"/>
    <x v="0"/>
    <n v="38"/>
    <x v="0"/>
    <x v="1"/>
  </r>
  <r>
    <n v="23316"/>
    <x v="1"/>
    <x v="1"/>
    <n v="30000"/>
    <x v="1"/>
    <x v="1"/>
    <x v="1"/>
    <x v="1"/>
    <x v="2"/>
    <x v="3"/>
    <x v="1"/>
    <n v="59"/>
    <x v="1"/>
    <x v="1"/>
  </r>
  <r>
    <n v="12610"/>
    <x v="0"/>
    <x v="0"/>
    <n v="30000"/>
    <x v="0"/>
    <x v="0"/>
    <x v="1"/>
    <x v="0"/>
    <x v="0"/>
    <x v="0"/>
    <x v="0"/>
    <n v="47"/>
    <x v="0"/>
    <x v="0"/>
  </r>
  <r>
    <n v="27183"/>
    <x v="1"/>
    <x v="1"/>
    <n v="40000"/>
    <x v="4"/>
    <x v="1"/>
    <x v="1"/>
    <x v="0"/>
    <x v="1"/>
    <x v="3"/>
    <x v="0"/>
    <n v="35"/>
    <x v="0"/>
    <x v="1"/>
  </r>
  <r>
    <n v="25940"/>
    <x v="1"/>
    <x v="1"/>
    <n v="20000"/>
    <x v="4"/>
    <x v="3"/>
    <x v="1"/>
    <x v="0"/>
    <x v="2"/>
    <x v="2"/>
    <x v="1"/>
    <n v="55"/>
    <x v="0"/>
    <x v="1"/>
  </r>
  <r>
    <n v="25598"/>
    <x v="0"/>
    <x v="0"/>
    <n v="40000"/>
    <x v="3"/>
    <x v="4"/>
    <x v="1"/>
    <x v="0"/>
    <x v="0"/>
    <x v="0"/>
    <x v="0"/>
    <n v="36"/>
    <x v="0"/>
    <x v="1"/>
  </r>
  <r>
    <n v="21564"/>
    <x v="1"/>
    <x v="0"/>
    <n v="80000"/>
    <x v="3"/>
    <x v="0"/>
    <x v="2"/>
    <x v="0"/>
    <x v="3"/>
    <x v="4"/>
    <x v="1"/>
    <n v="35"/>
    <x v="0"/>
    <x v="0"/>
  </r>
  <r>
    <n v="19193"/>
    <x v="1"/>
    <x v="1"/>
    <n v="40000"/>
    <x v="4"/>
    <x v="1"/>
    <x v="1"/>
    <x v="0"/>
    <x v="0"/>
    <x v="3"/>
    <x v="0"/>
    <n v="35"/>
    <x v="0"/>
    <x v="1"/>
  </r>
  <r>
    <n v="26412"/>
    <x v="0"/>
    <x v="0"/>
    <n v="80000"/>
    <x v="2"/>
    <x v="2"/>
    <x v="4"/>
    <x v="1"/>
    <x v="4"/>
    <x v="2"/>
    <x v="0"/>
    <n v="56"/>
    <x v="1"/>
    <x v="0"/>
  </r>
  <r>
    <n v="27184"/>
    <x v="1"/>
    <x v="1"/>
    <n v="40000"/>
    <x v="4"/>
    <x v="1"/>
    <x v="1"/>
    <x v="1"/>
    <x v="1"/>
    <x v="0"/>
    <x v="0"/>
    <n v="34"/>
    <x v="0"/>
    <x v="0"/>
  </r>
  <r>
    <n v="12590"/>
    <x v="1"/>
    <x v="1"/>
    <n v="30000"/>
    <x v="0"/>
    <x v="0"/>
    <x v="1"/>
    <x v="0"/>
    <x v="0"/>
    <x v="0"/>
    <x v="0"/>
    <n v="63"/>
    <x v="1"/>
    <x v="0"/>
  </r>
  <r>
    <n v="17841"/>
    <x v="1"/>
    <x v="1"/>
    <n v="30000"/>
    <x v="3"/>
    <x v="1"/>
    <x v="1"/>
    <x v="1"/>
    <x v="1"/>
    <x v="0"/>
    <x v="0"/>
    <n v="29"/>
    <x v="2"/>
    <x v="1"/>
  </r>
  <r>
    <n v="18283"/>
    <x v="1"/>
    <x v="0"/>
    <n v="100000"/>
    <x v="3"/>
    <x v="0"/>
    <x v="2"/>
    <x v="1"/>
    <x v="1"/>
    <x v="2"/>
    <x v="1"/>
    <n v="40"/>
    <x v="0"/>
    <x v="0"/>
  </r>
  <r>
    <n v="18299"/>
    <x v="0"/>
    <x v="1"/>
    <n v="70000"/>
    <x v="2"/>
    <x v="1"/>
    <x v="0"/>
    <x v="0"/>
    <x v="2"/>
    <x v="2"/>
    <x v="1"/>
    <n v="44"/>
    <x v="0"/>
    <x v="0"/>
  </r>
  <r>
    <n v="16466"/>
    <x v="1"/>
    <x v="0"/>
    <n v="20000"/>
    <x v="3"/>
    <x v="3"/>
    <x v="3"/>
    <x v="1"/>
    <x v="2"/>
    <x v="0"/>
    <x v="0"/>
    <n v="32"/>
    <x v="0"/>
    <x v="1"/>
  </r>
  <r>
    <n v="19273"/>
    <x v="0"/>
    <x v="0"/>
    <n v="20000"/>
    <x v="4"/>
    <x v="1"/>
    <x v="3"/>
    <x v="0"/>
    <x v="0"/>
    <x v="0"/>
    <x v="0"/>
    <n v="63"/>
    <x v="1"/>
    <x v="0"/>
  </r>
  <r>
    <n v="22400"/>
    <x v="0"/>
    <x v="1"/>
    <n v="10000"/>
    <x v="3"/>
    <x v="1"/>
    <x v="3"/>
    <x v="1"/>
    <x v="1"/>
    <x v="0"/>
    <x v="1"/>
    <n v="26"/>
    <x v="2"/>
    <x v="1"/>
  </r>
  <r>
    <n v="20942"/>
    <x v="1"/>
    <x v="0"/>
    <n v="20000"/>
    <x v="3"/>
    <x v="2"/>
    <x v="3"/>
    <x v="1"/>
    <x v="1"/>
    <x v="2"/>
    <x v="0"/>
    <n v="31"/>
    <x v="0"/>
    <x v="0"/>
  </r>
  <r>
    <n v="18484"/>
    <x v="1"/>
    <x v="1"/>
    <n v="80000"/>
    <x v="4"/>
    <x v="2"/>
    <x v="0"/>
    <x v="1"/>
    <x v="2"/>
    <x v="3"/>
    <x v="1"/>
    <n v="50"/>
    <x v="0"/>
    <x v="1"/>
  </r>
  <r>
    <n v="12291"/>
    <x v="1"/>
    <x v="1"/>
    <n v="90000"/>
    <x v="2"/>
    <x v="1"/>
    <x v="2"/>
    <x v="1"/>
    <x v="2"/>
    <x v="1"/>
    <x v="0"/>
    <n v="62"/>
    <x v="1"/>
    <x v="1"/>
  </r>
  <r>
    <n v="28380"/>
    <x v="1"/>
    <x v="0"/>
    <n v="10000"/>
    <x v="2"/>
    <x v="3"/>
    <x v="3"/>
    <x v="1"/>
    <x v="2"/>
    <x v="0"/>
    <x v="0"/>
    <n v="41"/>
    <x v="0"/>
    <x v="0"/>
  </r>
  <r>
    <n v="17891"/>
    <x v="0"/>
    <x v="0"/>
    <n v="10000"/>
    <x v="4"/>
    <x v="1"/>
    <x v="3"/>
    <x v="0"/>
    <x v="1"/>
    <x v="0"/>
    <x v="0"/>
    <n v="50"/>
    <x v="0"/>
    <x v="1"/>
  </r>
  <r>
    <n v="27832"/>
    <x v="1"/>
    <x v="0"/>
    <n v="30000"/>
    <x v="3"/>
    <x v="1"/>
    <x v="1"/>
    <x v="1"/>
    <x v="1"/>
    <x v="1"/>
    <x v="0"/>
    <n v="30"/>
    <x v="2"/>
    <x v="0"/>
  </r>
  <r>
    <n v="26863"/>
    <x v="1"/>
    <x v="1"/>
    <n v="20000"/>
    <x v="3"/>
    <x v="2"/>
    <x v="3"/>
    <x v="1"/>
    <x v="1"/>
    <x v="1"/>
    <x v="0"/>
    <n v="28"/>
    <x v="2"/>
    <x v="0"/>
  </r>
  <r>
    <n v="16259"/>
    <x v="1"/>
    <x v="0"/>
    <n v="10000"/>
    <x v="5"/>
    <x v="3"/>
    <x v="3"/>
    <x v="0"/>
    <x v="2"/>
    <x v="0"/>
    <x v="0"/>
    <n v="40"/>
    <x v="0"/>
    <x v="1"/>
  </r>
  <r>
    <n v="27803"/>
    <x v="1"/>
    <x v="0"/>
    <n v="30000"/>
    <x v="4"/>
    <x v="1"/>
    <x v="1"/>
    <x v="1"/>
    <x v="0"/>
    <x v="0"/>
    <x v="0"/>
    <n v="43"/>
    <x v="0"/>
    <x v="0"/>
  </r>
  <r>
    <n v="14347"/>
    <x v="1"/>
    <x v="0"/>
    <n v="40000"/>
    <x v="4"/>
    <x v="0"/>
    <x v="4"/>
    <x v="0"/>
    <x v="2"/>
    <x v="2"/>
    <x v="1"/>
    <n v="65"/>
    <x v="1"/>
    <x v="1"/>
  </r>
  <r>
    <n v="17703"/>
    <x v="0"/>
    <x v="0"/>
    <n v="10000"/>
    <x v="0"/>
    <x v="4"/>
    <x v="3"/>
    <x v="0"/>
    <x v="0"/>
    <x v="0"/>
    <x v="0"/>
    <n v="40"/>
    <x v="0"/>
    <x v="0"/>
  </r>
  <r>
    <n v="17185"/>
    <x v="0"/>
    <x v="0"/>
    <n v="170000"/>
    <x v="5"/>
    <x v="1"/>
    <x v="2"/>
    <x v="1"/>
    <x v="4"/>
    <x v="2"/>
    <x v="0"/>
    <n v="48"/>
    <x v="0"/>
    <x v="1"/>
  </r>
  <r>
    <n v="29380"/>
    <x v="0"/>
    <x v="0"/>
    <n v="20000"/>
    <x v="1"/>
    <x v="2"/>
    <x v="3"/>
    <x v="0"/>
    <x v="0"/>
    <x v="0"/>
    <x v="0"/>
    <n v="41"/>
    <x v="0"/>
    <x v="1"/>
  </r>
  <r>
    <n v="23986"/>
    <x v="0"/>
    <x v="0"/>
    <n v="20000"/>
    <x v="0"/>
    <x v="0"/>
    <x v="1"/>
    <x v="0"/>
    <x v="0"/>
    <x v="0"/>
    <x v="0"/>
    <n v="66"/>
    <x v="1"/>
    <x v="1"/>
  </r>
  <r>
    <n v="24466"/>
    <x v="0"/>
    <x v="0"/>
    <n v="60000"/>
    <x v="0"/>
    <x v="1"/>
    <x v="0"/>
    <x v="0"/>
    <x v="1"/>
    <x v="2"/>
    <x v="1"/>
    <n v="46"/>
    <x v="0"/>
    <x v="1"/>
  </r>
  <r>
    <n v="29097"/>
    <x v="1"/>
    <x v="0"/>
    <n v="40000"/>
    <x v="4"/>
    <x v="1"/>
    <x v="0"/>
    <x v="0"/>
    <x v="2"/>
    <x v="2"/>
    <x v="1"/>
    <n v="52"/>
    <x v="0"/>
    <x v="1"/>
  </r>
  <r>
    <n v="19487"/>
    <x v="0"/>
    <x v="1"/>
    <n v="30000"/>
    <x v="4"/>
    <x v="1"/>
    <x v="1"/>
    <x v="1"/>
    <x v="2"/>
    <x v="0"/>
    <x v="0"/>
    <n v="42"/>
    <x v="0"/>
    <x v="0"/>
  </r>
  <r>
    <n v="14939"/>
    <x v="1"/>
    <x v="1"/>
    <n v="40000"/>
    <x v="3"/>
    <x v="0"/>
    <x v="1"/>
    <x v="0"/>
    <x v="0"/>
    <x v="0"/>
    <x v="0"/>
    <n v="39"/>
    <x v="0"/>
    <x v="1"/>
  </r>
  <r>
    <n v="13826"/>
    <x v="1"/>
    <x v="0"/>
    <n v="30000"/>
    <x v="3"/>
    <x v="1"/>
    <x v="1"/>
    <x v="1"/>
    <x v="1"/>
    <x v="0"/>
    <x v="0"/>
    <n v="28"/>
    <x v="2"/>
    <x v="0"/>
  </r>
  <r>
    <n v="20619"/>
    <x v="1"/>
    <x v="1"/>
    <n v="80000"/>
    <x v="3"/>
    <x v="0"/>
    <x v="2"/>
    <x v="1"/>
    <x v="3"/>
    <x v="4"/>
    <x v="1"/>
    <n v="35"/>
    <x v="0"/>
    <x v="0"/>
  </r>
  <r>
    <n v="12558"/>
    <x v="0"/>
    <x v="0"/>
    <n v="20000"/>
    <x v="0"/>
    <x v="0"/>
    <x v="1"/>
    <x v="0"/>
    <x v="0"/>
    <x v="0"/>
    <x v="0"/>
    <n v="65"/>
    <x v="1"/>
    <x v="0"/>
  </r>
  <r>
    <n v="24871"/>
    <x v="1"/>
    <x v="0"/>
    <n v="90000"/>
    <x v="5"/>
    <x v="2"/>
    <x v="4"/>
    <x v="1"/>
    <x v="4"/>
    <x v="2"/>
    <x v="0"/>
    <n v="56"/>
    <x v="1"/>
    <x v="0"/>
  </r>
  <r>
    <n v="17319"/>
    <x v="1"/>
    <x v="0"/>
    <n v="70000"/>
    <x v="3"/>
    <x v="0"/>
    <x v="2"/>
    <x v="1"/>
    <x v="1"/>
    <x v="2"/>
    <x v="1"/>
    <n v="42"/>
    <x v="0"/>
    <x v="0"/>
  </r>
  <r>
    <n v="28906"/>
    <x v="0"/>
    <x v="1"/>
    <n v="80000"/>
    <x v="5"/>
    <x v="2"/>
    <x v="2"/>
    <x v="0"/>
    <x v="2"/>
    <x v="4"/>
    <x v="0"/>
    <n v="54"/>
    <x v="0"/>
    <x v="0"/>
  </r>
  <r>
    <n v="12808"/>
    <x v="0"/>
    <x v="1"/>
    <n v="40000"/>
    <x v="3"/>
    <x v="0"/>
    <x v="1"/>
    <x v="0"/>
    <x v="0"/>
    <x v="0"/>
    <x v="0"/>
    <n v="38"/>
    <x v="0"/>
    <x v="1"/>
  </r>
  <r>
    <n v="20567"/>
    <x v="0"/>
    <x v="1"/>
    <n v="130000"/>
    <x v="5"/>
    <x v="1"/>
    <x v="2"/>
    <x v="1"/>
    <x v="3"/>
    <x v="2"/>
    <x v="0"/>
    <n v="61"/>
    <x v="1"/>
    <x v="1"/>
  </r>
  <r>
    <n v="25502"/>
    <x v="0"/>
    <x v="0"/>
    <n v="40000"/>
    <x v="0"/>
    <x v="0"/>
    <x v="0"/>
    <x v="0"/>
    <x v="0"/>
    <x v="0"/>
    <x v="0"/>
    <n v="43"/>
    <x v="0"/>
    <x v="1"/>
  </r>
  <r>
    <n v="15580"/>
    <x v="0"/>
    <x v="1"/>
    <n v="60000"/>
    <x v="4"/>
    <x v="0"/>
    <x v="2"/>
    <x v="0"/>
    <x v="1"/>
    <x v="1"/>
    <x v="1"/>
    <n v="38"/>
    <x v="0"/>
    <x v="1"/>
  </r>
  <r>
    <n v="24185"/>
    <x v="1"/>
    <x v="0"/>
    <n v="10000"/>
    <x v="0"/>
    <x v="2"/>
    <x v="3"/>
    <x v="1"/>
    <x v="1"/>
    <x v="3"/>
    <x v="0"/>
    <n v="45"/>
    <x v="0"/>
    <x v="0"/>
  </r>
  <r>
    <n v="19291"/>
    <x v="1"/>
    <x v="0"/>
    <n v="10000"/>
    <x v="4"/>
    <x v="2"/>
    <x v="3"/>
    <x v="0"/>
    <x v="0"/>
    <x v="0"/>
    <x v="0"/>
    <n v="35"/>
    <x v="0"/>
    <x v="0"/>
  </r>
  <r>
    <n v="16713"/>
    <x v="0"/>
    <x v="1"/>
    <n v="40000"/>
    <x v="4"/>
    <x v="0"/>
    <x v="4"/>
    <x v="0"/>
    <x v="1"/>
    <x v="0"/>
    <x v="1"/>
    <n v="52"/>
    <x v="0"/>
    <x v="1"/>
  </r>
  <r>
    <n v="16185"/>
    <x v="1"/>
    <x v="1"/>
    <n v="60000"/>
    <x v="5"/>
    <x v="0"/>
    <x v="2"/>
    <x v="0"/>
    <x v="4"/>
    <x v="4"/>
    <x v="1"/>
    <n v="41"/>
    <x v="0"/>
    <x v="0"/>
  </r>
  <r>
    <n v="14927"/>
    <x v="0"/>
    <x v="0"/>
    <n v="30000"/>
    <x v="0"/>
    <x v="0"/>
    <x v="1"/>
    <x v="0"/>
    <x v="0"/>
    <x v="0"/>
    <x v="0"/>
    <n v="37"/>
    <x v="0"/>
    <x v="1"/>
  </r>
  <r>
    <n v="29337"/>
    <x v="1"/>
    <x v="1"/>
    <n v="30000"/>
    <x v="4"/>
    <x v="1"/>
    <x v="1"/>
    <x v="0"/>
    <x v="2"/>
    <x v="2"/>
    <x v="1"/>
    <n v="68"/>
    <x v="1"/>
    <x v="0"/>
  </r>
  <r>
    <n v="29355"/>
    <x v="0"/>
    <x v="0"/>
    <n v="40000"/>
    <x v="3"/>
    <x v="4"/>
    <x v="1"/>
    <x v="0"/>
    <x v="0"/>
    <x v="0"/>
    <x v="0"/>
    <n v="37"/>
    <x v="0"/>
    <x v="1"/>
  </r>
  <r>
    <n v="25303"/>
    <x v="1"/>
    <x v="1"/>
    <n v="30000"/>
    <x v="3"/>
    <x v="2"/>
    <x v="3"/>
    <x v="0"/>
    <x v="1"/>
    <x v="1"/>
    <x v="0"/>
    <n v="33"/>
    <x v="0"/>
    <x v="1"/>
  </r>
  <r>
    <n v="14813"/>
    <x v="1"/>
    <x v="0"/>
    <n v="20000"/>
    <x v="5"/>
    <x v="2"/>
    <x v="3"/>
    <x v="0"/>
    <x v="1"/>
    <x v="0"/>
    <x v="0"/>
    <n v="43"/>
    <x v="0"/>
    <x v="1"/>
  </r>
  <r>
    <n v="16438"/>
    <x v="0"/>
    <x v="0"/>
    <n v="10000"/>
    <x v="3"/>
    <x v="3"/>
    <x v="3"/>
    <x v="1"/>
    <x v="2"/>
    <x v="0"/>
    <x v="0"/>
    <n v="30"/>
    <x v="2"/>
    <x v="0"/>
  </r>
  <r>
    <n v="14238"/>
    <x v="0"/>
    <x v="1"/>
    <n v="120000"/>
    <x v="3"/>
    <x v="3"/>
    <x v="2"/>
    <x v="0"/>
    <x v="3"/>
    <x v="4"/>
    <x v="1"/>
    <n v="36"/>
    <x v="0"/>
    <x v="1"/>
  </r>
  <r>
    <n v="16200"/>
    <x v="1"/>
    <x v="0"/>
    <n v="10000"/>
    <x v="3"/>
    <x v="3"/>
    <x v="3"/>
    <x v="1"/>
    <x v="2"/>
    <x v="0"/>
    <x v="0"/>
    <n v="35"/>
    <x v="0"/>
    <x v="0"/>
  </r>
  <r>
    <n v="24857"/>
    <x v="0"/>
    <x v="0"/>
    <n v="130000"/>
    <x v="1"/>
    <x v="2"/>
    <x v="2"/>
    <x v="0"/>
    <x v="3"/>
    <x v="0"/>
    <x v="0"/>
    <n v="52"/>
    <x v="0"/>
    <x v="0"/>
  </r>
  <r>
    <n v="26956"/>
    <x v="1"/>
    <x v="0"/>
    <n v="20000"/>
    <x v="3"/>
    <x v="1"/>
    <x v="3"/>
    <x v="1"/>
    <x v="1"/>
    <x v="1"/>
    <x v="0"/>
    <n v="36"/>
    <x v="0"/>
    <x v="1"/>
  </r>
  <r>
    <n v="14517"/>
    <x v="0"/>
    <x v="0"/>
    <n v="20000"/>
    <x v="1"/>
    <x v="2"/>
    <x v="0"/>
    <x v="1"/>
    <x v="2"/>
    <x v="3"/>
    <x v="1"/>
    <n v="62"/>
    <x v="1"/>
    <x v="0"/>
  </r>
  <r>
    <n v="12678"/>
    <x v="1"/>
    <x v="0"/>
    <n v="130000"/>
    <x v="5"/>
    <x v="2"/>
    <x v="4"/>
    <x v="0"/>
    <x v="3"/>
    <x v="0"/>
    <x v="1"/>
    <n v="31"/>
    <x v="0"/>
    <x v="0"/>
  </r>
  <r>
    <n v="16188"/>
    <x v="1"/>
    <x v="0"/>
    <n v="20000"/>
    <x v="3"/>
    <x v="3"/>
    <x v="3"/>
    <x v="1"/>
    <x v="2"/>
    <x v="3"/>
    <x v="0"/>
    <n v="26"/>
    <x v="2"/>
    <x v="0"/>
  </r>
  <r>
    <n v="27969"/>
    <x v="0"/>
    <x v="1"/>
    <n v="80000"/>
    <x v="3"/>
    <x v="0"/>
    <x v="2"/>
    <x v="0"/>
    <x v="2"/>
    <x v="4"/>
    <x v="1"/>
    <n v="29"/>
    <x v="2"/>
    <x v="1"/>
  </r>
  <r>
    <n v="15752"/>
    <x v="0"/>
    <x v="1"/>
    <n v="80000"/>
    <x v="4"/>
    <x v="2"/>
    <x v="0"/>
    <x v="1"/>
    <x v="2"/>
    <x v="3"/>
    <x v="1"/>
    <n v="50"/>
    <x v="0"/>
    <x v="1"/>
  </r>
  <r>
    <n v="27745"/>
    <x v="1"/>
    <x v="1"/>
    <n v="40000"/>
    <x v="4"/>
    <x v="0"/>
    <x v="4"/>
    <x v="0"/>
    <x v="2"/>
    <x v="2"/>
    <x v="1"/>
    <n v="63"/>
    <x v="1"/>
    <x v="1"/>
  </r>
  <r>
    <n v="20828"/>
    <x v="0"/>
    <x v="0"/>
    <n v="30000"/>
    <x v="5"/>
    <x v="4"/>
    <x v="1"/>
    <x v="0"/>
    <x v="0"/>
    <x v="0"/>
    <x v="0"/>
    <n v="45"/>
    <x v="0"/>
    <x v="1"/>
  </r>
  <r>
    <n v="19461"/>
    <x v="1"/>
    <x v="0"/>
    <n v="10000"/>
    <x v="5"/>
    <x v="3"/>
    <x v="3"/>
    <x v="0"/>
    <x v="2"/>
    <x v="0"/>
    <x v="0"/>
    <n v="40"/>
    <x v="0"/>
    <x v="0"/>
  </r>
  <r>
    <n v="26941"/>
    <x v="0"/>
    <x v="1"/>
    <n v="30000"/>
    <x v="3"/>
    <x v="0"/>
    <x v="1"/>
    <x v="0"/>
    <x v="0"/>
    <x v="0"/>
    <x v="0"/>
    <n v="47"/>
    <x v="0"/>
    <x v="1"/>
  </r>
  <r>
    <n v="28412"/>
    <x v="1"/>
    <x v="1"/>
    <n v="20000"/>
    <x v="3"/>
    <x v="2"/>
    <x v="3"/>
    <x v="1"/>
    <x v="1"/>
    <x v="1"/>
    <x v="0"/>
    <n v="29"/>
    <x v="2"/>
    <x v="0"/>
  </r>
  <r>
    <n v="24485"/>
    <x v="1"/>
    <x v="1"/>
    <n v="40000"/>
    <x v="4"/>
    <x v="0"/>
    <x v="4"/>
    <x v="1"/>
    <x v="1"/>
    <x v="2"/>
    <x v="1"/>
    <n v="52"/>
    <x v="0"/>
    <x v="1"/>
  </r>
  <r>
    <n v="16514"/>
    <x v="1"/>
    <x v="1"/>
    <n v="10000"/>
    <x v="3"/>
    <x v="1"/>
    <x v="3"/>
    <x v="0"/>
    <x v="1"/>
    <x v="3"/>
    <x v="1"/>
    <n v="26"/>
    <x v="2"/>
    <x v="1"/>
  </r>
  <r>
    <n v="17191"/>
    <x v="1"/>
    <x v="1"/>
    <n v="130000"/>
    <x v="1"/>
    <x v="1"/>
    <x v="2"/>
    <x v="1"/>
    <x v="4"/>
    <x v="0"/>
    <x v="0"/>
    <n v="51"/>
    <x v="0"/>
    <x v="1"/>
  </r>
  <r>
    <n v="19608"/>
    <x v="0"/>
    <x v="1"/>
    <n v="80000"/>
    <x v="2"/>
    <x v="0"/>
    <x v="2"/>
    <x v="0"/>
    <x v="3"/>
    <x v="3"/>
    <x v="1"/>
    <n v="40"/>
    <x v="0"/>
    <x v="0"/>
  </r>
  <r>
    <n v="24119"/>
    <x v="1"/>
    <x v="1"/>
    <n v="30000"/>
    <x v="3"/>
    <x v="1"/>
    <x v="1"/>
    <x v="1"/>
    <x v="1"/>
    <x v="1"/>
    <x v="0"/>
    <n v="29"/>
    <x v="2"/>
    <x v="0"/>
  </r>
  <r>
    <n v="25458"/>
    <x v="0"/>
    <x v="1"/>
    <n v="20000"/>
    <x v="0"/>
    <x v="2"/>
    <x v="3"/>
    <x v="1"/>
    <x v="1"/>
    <x v="3"/>
    <x v="0"/>
    <n v="40"/>
    <x v="0"/>
    <x v="1"/>
  </r>
  <r>
    <n v="26886"/>
    <x v="1"/>
    <x v="0"/>
    <n v="30000"/>
    <x v="3"/>
    <x v="1"/>
    <x v="1"/>
    <x v="1"/>
    <x v="1"/>
    <x v="0"/>
    <x v="0"/>
    <n v="29"/>
    <x v="2"/>
    <x v="1"/>
  </r>
  <r>
    <n v="28436"/>
    <x v="1"/>
    <x v="1"/>
    <n v="30000"/>
    <x v="3"/>
    <x v="1"/>
    <x v="1"/>
    <x v="1"/>
    <x v="1"/>
    <x v="0"/>
    <x v="0"/>
    <n v="30"/>
    <x v="2"/>
    <x v="1"/>
  </r>
  <r>
    <n v="19562"/>
    <x v="1"/>
    <x v="0"/>
    <n v="60000"/>
    <x v="4"/>
    <x v="0"/>
    <x v="2"/>
    <x v="0"/>
    <x v="1"/>
    <x v="1"/>
    <x v="1"/>
    <n v="37"/>
    <x v="0"/>
    <x v="1"/>
  </r>
  <r>
    <n v="15608"/>
    <x v="1"/>
    <x v="0"/>
    <n v="30000"/>
    <x v="3"/>
    <x v="1"/>
    <x v="1"/>
    <x v="1"/>
    <x v="1"/>
    <x v="1"/>
    <x v="0"/>
    <n v="33"/>
    <x v="0"/>
    <x v="0"/>
  </r>
  <r>
    <n v="16487"/>
    <x v="1"/>
    <x v="0"/>
    <n v="30000"/>
    <x v="1"/>
    <x v="2"/>
    <x v="0"/>
    <x v="0"/>
    <x v="2"/>
    <x v="2"/>
    <x v="1"/>
    <n v="55"/>
    <x v="0"/>
    <x v="0"/>
  </r>
  <r>
    <n v="17197"/>
    <x v="1"/>
    <x v="0"/>
    <n v="90000"/>
    <x v="2"/>
    <x v="1"/>
    <x v="2"/>
    <x v="0"/>
    <x v="2"/>
    <x v="4"/>
    <x v="0"/>
    <n v="62"/>
    <x v="1"/>
    <x v="0"/>
  </r>
  <r>
    <n v="12507"/>
    <x v="0"/>
    <x v="1"/>
    <n v="30000"/>
    <x v="0"/>
    <x v="1"/>
    <x v="1"/>
    <x v="0"/>
    <x v="1"/>
    <x v="0"/>
    <x v="0"/>
    <n v="43"/>
    <x v="0"/>
    <x v="0"/>
  </r>
  <r>
    <n v="23940"/>
    <x v="0"/>
    <x v="1"/>
    <n v="40000"/>
    <x v="0"/>
    <x v="0"/>
    <x v="0"/>
    <x v="0"/>
    <x v="1"/>
    <x v="0"/>
    <x v="0"/>
    <n v="44"/>
    <x v="0"/>
    <x v="1"/>
  </r>
  <r>
    <n v="19441"/>
    <x v="0"/>
    <x v="1"/>
    <n v="40000"/>
    <x v="3"/>
    <x v="4"/>
    <x v="1"/>
    <x v="0"/>
    <x v="0"/>
    <x v="0"/>
    <x v="0"/>
    <n v="25"/>
    <x v="2"/>
    <x v="1"/>
  </r>
  <r>
    <n v="26852"/>
    <x v="0"/>
    <x v="0"/>
    <n v="20000"/>
    <x v="1"/>
    <x v="2"/>
    <x v="3"/>
    <x v="0"/>
    <x v="2"/>
    <x v="0"/>
    <x v="0"/>
    <n v="43"/>
    <x v="0"/>
    <x v="0"/>
  </r>
  <r>
    <n v="12274"/>
    <x v="1"/>
    <x v="1"/>
    <n v="10000"/>
    <x v="4"/>
    <x v="2"/>
    <x v="3"/>
    <x v="0"/>
    <x v="0"/>
    <x v="0"/>
    <x v="0"/>
    <n v="35"/>
    <x v="0"/>
    <x v="0"/>
  </r>
  <r>
    <n v="20236"/>
    <x v="1"/>
    <x v="1"/>
    <n v="60000"/>
    <x v="1"/>
    <x v="0"/>
    <x v="2"/>
    <x v="1"/>
    <x v="2"/>
    <x v="0"/>
    <x v="1"/>
    <n v="43"/>
    <x v="0"/>
    <x v="1"/>
  </r>
  <r>
    <n v="24149"/>
    <x v="0"/>
    <x v="1"/>
    <n v="10000"/>
    <x v="4"/>
    <x v="1"/>
    <x v="3"/>
    <x v="0"/>
    <x v="0"/>
    <x v="3"/>
    <x v="0"/>
    <n v="49"/>
    <x v="0"/>
    <x v="0"/>
  </r>
  <r>
    <n v="26139"/>
    <x v="1"/>
    <x v="1"/>
    <n v="60000"/>
    <x v="0"/>
    <x v="1"/>
    <x v="0"/>
    <x v="0"/>
    <x v="1"/>
    <x v="2"/>
    <x v="1"/>
    <n v="45"/>
    <x v="0"/>
    <x v="0"/>
  </r>
  <r>
    <n v="18491"/>
    <x v="1"/>
    <x v="0"/>
    <n v="70000"/>
    <x v="4"/>
    <x v="2"/>
    <x v="2"/>
    <x v="0"/>
    <x v="2"/>
    <x v="2"/>
    <x v="1"/>
    <n v="49"/>
    <x v="0"/>
    <x v="1"/>
  </r>
  <r>
    <n v="22707"/>
    <x v="1"/>
    <x v="0"/>
    <n v="30000"/>
    <x v="3"/>
    <x v="1"/>
    <x v="1"/>
    <x v="1"/>
    <x v="1"/>
    <x v="1"/>
    <x v="0"/>
    <n v="30"/>
    <x v="2"/>
    <x v="0"/>
  </r>
  <r>
    <n v="20430"/>
    <x v="0"/>
    <x v="1"/>
    <n v="70000"/>
    <x v="4"/>
    <x v="1"/>
    <x v="0"/>
    <x v="0"/>
    <x v="2"/>
    <x v="2"/>
    <x v="1"/>
    <n v="52"/>
    <x v="0"/>
    <x v="1"/>
  </r>
  <r>
    <n v="27494"/>
    <x v="1"/>
    <x v="0"/>
    <n v="40000"/>
    <x v="4"/>
    <x v="1"/>
    <x v="0"/>
    <x v="1"/>
    <x v="2"/>
    <x v="3"/>
    <x v="1"/>
    <n v="53"/>
    <x v="0"/>
    <x v="1"/>
  </r>
  <r>
    <n v="26829"/>
    <x v="0"/>
    <x v="0"/>
    <n v="40000"/>
    <x v="3"/>
    <x v="0"/>
    <x v="1"/>
    <x v="0"/>
    <x v="0"/>
    <x v="0"/>
    <x v="0"/>
    <n v="38"/>
    <x v="0"/>
    <x v="1"/>
  </r>
  <r>
    <n v="28395"/>
    <x v="1"/>
    <x v="1"/>
    <n v="40000"/>
    <x v="3"/>
    <x v="0"/>
    <x v="2"/>
    <x v="1"/>
    <x v="0"/>
    <x v="0"/>
    <x v="0"/>
    <n v="39"/>
    <x v="0"/>
    <x v="1"/>
  </r>
  <r>
    <n v="21006"/>
    <x v="1"/>
    <x v="0"/>
    <n v="30000"/>
    <x v="0"/>
    <x v="1"/>
    <x v="3"/>
    <x v="1"/>
    <x v="0"/>
    <x v="0"/>
    <x v="0"/>
    <n v="46"/>
    <x v="0"/>
    <x v="1"/>
  </r>
  <r>
    <n v="14682"/>
    <x v="1"/>
    <x v="0"/>
    <n v="70000"/>
    <x v="3"/>
    <x v="0"/>
    <x v="2"/>
    <x v="1"/>
    <x v="1"/>
    <x v="2"/>
    <x v="1"/>
    <n v="38"/>
    <x v="0"/>
    <x v="0"/>
  </r>
  <r>
    <n v="17650"/>
    <x v="1"/>
    <x v="0"/>
    <n v="40000"/>
    <x v="4"/>
    <x v="1"/>
    <x v="1"/>
    <x v="0"/>
    <x v="2"/>
    <x v="3"/>
    <x v="0"/>
    <n v="35"/>
    <x v="0"/>
    <x v="0"/>
  </r>
  <r>
    <n v="29191"/>
    <x v="1"/>
    <x v="0"/>
    <n v="130000"/>
    <x v="0"/>
    <x v="4"/>
    <x v="4"/>
    <x v="1"/>
    <x v="1"/>
    <x v="0"/>
    <x v="1"/>
    <n v="36"/>
    <x v="0"/>
    <x v="1"/>
  </r>
  <r>
    <n v="15030"/>
    <x v="0"/>
    <x v="1"/>
    <n v="20000"/>
    <x v="3"/>
    <x v="0"/>
    <x v="1"/>
    <x v="0"/>
    <x v="0"/>
    <x v="0"/>
    <x v="1"/>
    <n v="26"/>
    <x v="2"/>
    <x v="1"/>
  </r>
  <r>
    <n v="24140"/>
    <x v="1"/>
    <x v="1"/>
    <n v="10000"/>
    <x v="3"/>
    <x v="4"/>
    <x v="3"/>
    <x v="1"/>
    <x v="0"/>
    <x v="0"/>
    <x v="0"/>
    <n v="30"/>
    <x v="2"/>
    <x v="1"/>
  </r>
  <r>
    <n v="22496"/>
    <x v="0"/>
    <x v="0"/>
    <n v="30000"/>
    <x v="0"/>
    <x v="0"/>
    <x v="0"/>
    <x v="0"/>
    <x v="2"/>
    <x v="0"/>
    <x v="0"/>
    <n v="42"/>
    <x v="0"/>
    <x v="0"/>
  </r>
  <r>
    <n v="24065"/>
    <x v="1"/>
    <x v="0"/>
    <n v="20000"/>
    <x v="3"/>
    <x v="2"/>
    <x v="3"/>
    <x v="0"/>
    <x v="0"/>
    <x v="0"/>
    <x v="0"/>
    <n v="40"/>
    <x v="0"/>
    <x v="1"/>
  </r>
  <r>
    <n v="19914"/>
    <x v="0"/>
    <x v="1"/>
    <n v="80000"/>
    <x v="2"/>
    <x v="0"/>
    <x v="4"/>
    <x v="0"/>
    <x v="2"/>
    <x v="1"/>
    <x v="0"/>
    <n v="62"/>
    <x v="1"/>
    <x v="0"/>
  </r>
  <r>
    <n v="12871"/>
    <x v="1"/>
    <x v="0"/>
    <n v="30000"/>
    <x v="3"/>
    <x v="1"/>
    <x v="1"/>
    <x v="1"/>
    <x v="1"/>
    <x v="1"/>
    <x v="0"/>
    <n v="29"/>
    <x v="2"/>
    <x v="0"/>
  </r>
  <r>
    <n v="22988"/>
    <x v="0"/>
    <x v="0"/>
    <n v="40000"/>
    <x v="4"/>
    <x v="0"/>
    <x v="4"/>
    <x v="0"/>
    <x v="2"/>
    <x v="2"/>
    <x v="1"/>
    <n v="66"/>
    <x v="1"/>
    <x v="1"/>
  </r>
  <r>
    <n v="15922"/>
    <x v="0"/>
    <x v="1"/>
    <n v="150000"/>
    <x v="4"/>
    <x v="2"/>
    <x v="2"/>
    <x v="0"/>
    <x v="3"/>
    <x v="0"/>
    <x v="0"/>
    <n v="48"/>
    <x v="0"/>
    <x v="0"/>
  </r>
  <r>
    <n v="12344"/>
    <x v="1"/>
    <x v="0"/>
    <n v="80000"/>
    <x v="3"/>
    <x v="0"/>
    <x v="2"/>
    <x v="1"/>
    <x v="4"/>
    <x v="4"/>
    <x v="1"/>
    <n v="31"/>
    <x v="0"/>
    <x v="0"/>
  </r>
  <r>
    <n v="23627"/>
    <x v="1"/>
    <x v="0"/>
    <n v="100000"/>
    <x v="1"/>
    <x v="1"/>
    <x v="4"/>
    <x v="1"/>
    <x v="3"/>
    <x v="2"/>
    <x v="0"/>
    <n v="56"/>
    <x v="1"/>
    <x v="0"/>
  </r>
  <r>
    <n v="27775"/>
    <x v="1"/>
    <x v="0"/>
    <n v="40000"/>
    <x v="3"/>
    <x v="0"/>
    <x v="1"/>
    <x v="1"/>
    <x v="0"/>
    <x v="0"/>
    <x v="0"/>
    <n v="38"/>
    <x v="0"/>
    <x v="1"/>
  </r>
  <r>
    <n v="29301"/>
    <x v="0"/>
    <x v="1"/>
    <n v="80000"/>
    <x v="2"/>
    <x v="0"/>
    <x v="2"/>
    <x v="0"/>
    <x v="3"/>
    <x v="3"/>
    <x v="1"/>
    <n v="40"/>
    <x v="0"/>
    <x v="0"/>
  </r>
  <r>
    <n v="12716"/>
    <x v="1"/>
    <x v="1"/>
    <n v="30000"/>
    <x v="3"/>
    <x v="1"/>
    <x v="1"/>
    <x v="0"/>
    <x v="1"/>
    <x v="1"/>
    <x v="0"/>
    <n v="32"/>
    <x v="0"/>
    <x v="0"/>
  </r>
  <r>
    <n v="12472"/>
    <x v="0"/>
    <x v="1"/>
    <n v="30000"/>
    <x v="0"/>
    <x v="0"/>
    <x v="1"/>
    <x v="0"/>
    <x v="1"/>
    <x v="1"/>
    <x v="0"/>
    <n v="39"/>
    <x v="0"/>
    <x v="0"/>
  </r>
  <r>
    <n v="20970"/>
    <x v="1"/>
    <x v="1"/>
    <n v="10000"/>
    <x v="4"/>
    <x v="1"/>
    <x v="3"/>
    <x v="0"/>
    <x v="1"/>
    <x v="0"/>
    <x v="0"/>
    <n v="52"/>
    <x v="0"/>
    <x v="1"/>
  </r>
  <r>
    <n v="26818"/>
    <x v="1"/>
    <x v="1"/>
    <n v="10000"/>
    <x v="1"/>
    <x v="2"/>
    <x v="3"/>
    <x v="0"/>
    <x v="1"/>
    <x v="0"/>
    <x v="0"/>
    <n v="39"/>
    <x v="0"/>
    <x v="1"/>
  </r>
  <r>
    <n v="12993"/>
    <x v="0"/>
    <x v="1"/>
    <n v="60000"/>
    <x v="4"/>
    <x v="0"/>
    <x v="2"/>
    <x v="0"/>
    <x v="1"/>
    <x v="1"/>
    <x v="1"/>
    <n v="37"/>
    <x v="0"/>
    <x v="0"/>
  </r>
  <r>
    <n v="14192"/>
    <x v="0"/>
    <x v="1"/>
    <n v="90000"/>
    <x v="5"/>
    <x v="2"/>
    <x v="4"/>
    <x v="0"/>
    <x v="4"/>
    <x v="2"/>
    <x v="0"/>
    <n v="56"/>
    <x v="1"/>
    <x v="1"/>
  </r>
  <r>
    <n v="19477"/>
    <x v="0"/>
    <x v="1"/>
    <n v="40000"/>
    <x v="3"/>
    <x v="0"/>
    <x v="2"/>
    <x v="0"/>
    <x v="0"/>
    <x v="0"/>
    <x v="0"/>
    <n v="40"/>
    <x v="0"/>
    <x v="1"/>
  </r>
  <r>
    <n v="26796"/>
    <x v="1"/>
    <x v="1"/>
    <n v="40000"/>
    <x v="4"/>
    <x v="0"/>
    <x v="4"/>
    <x v="0"/>
    <x v="2"/>
    <x v="2"/>
    <x v="1"/>
    <n v="65"/>
    <x v="1"/>
    <x v="1"/>
  </r>
  <r>
    <n v="21094"/>
    <x v="1"/>
    <x v="0"/>
    <n v="30000"/>
    <x v="4"/>
    <x v="1"/>
    <x v="1"/>
    <x v="0"/>
    <x v="2"/>
    <x v="0"/>
    <x v="0"/>
    <n v="42"/>
    <x v="0"/>
    <x v="0"/>
  </r>
  <r>
    <n v="12234"/>
    <x v="0"/>
    <x v="1"/>
    <n v="10000"/>
    <x v="4"/>
    <x v="1"/>
    <x v="3"/>
    <x v="0"/>
    <x v="1"/>
    <x v="1"/>
    <x v="0"/>
    <n v="52"/>
    <x v="0"/>
    <x v="0"/>
  </r>
  <r>
    <n v="28683"/>
    <x v="1"/>
    <x v="0"/>
    <n v="10000"/>
    <x v="0"/>
    <x v="2"/>
    <x v="3"/>
    <x v="1"/>
    <x v="1"/>
    <x v="2"/>
    <x v="0"/>
    <n v="35"/>
    <x v="0"/>
    <x v="1"/>
  </r>
  <r>
    <n v="17994"/>
    <x v="1"/>
    <x v="1"/>
    <n v="20000"/>
    <x v="4"/>
    <x v="2"/>
    <x v="3"/>
    <x v="0"/>
    <x v="2"/>
    <x v="0"/>
    <x v="0"/>
    <n v="42"/>
    <x v="0"/>
    <x v="0"/>
  </r>
  <r>
    <n v="24273"/>
    <x v="0"/>
    <x v="0"/>
    <n v="20000"/>
    <x v="4"/>
    <x v="3"/>
    <x v="1"/>
    <x v="0"/>
    <x v="2"/>
    <x v="2"/>
    <x v="1"/>
    <n v="55"/>
    <x v="0"/>
    <x v="1"/>
  </r>
  <r>
    <n v="26547"/>
    <x v="1"/>
    <x v="0"/>
    <n v="30000"/>
    <x v="4"/>
    <x v="1"/>
    <x v="1"/>
    <x v="1"/>
    <x v="2"/>
    <x v="2"/>
    <x v="1"/>
    <n v="60"/>
    <x v="1"/>
    <x v="1"/>
  </r>
  <r>
    <n v="22500"/>
    <x v="1"/>
    <x v="1"/>
    <n v="40000"/>
    <x v="3"/>
    <x v="0"/>
    <x v="2"/>
    <x v="1"/>
    <x v="0"/>
    <x v="0"/>
    <x v="0"/>
    <n v="40"/>
    <x v="0"/>
    <x v="1"/>
  </r>
  <r>
    <n v="23993"/>
    <x v="1"/>
    <x v="0"/>
    <n v="10000"/>
    <x v="3"/>
    <x v="1"/>
    <x v="3"/>
    <x v="1"/>
    <x v="1"/>
    <x v="0"/>
    <x v="1"/>
    <n v="26"/>
    <x v="2"/>
    <x v="1"/>
  </r>
  <r>
    <n v="14832"/>
    <x v="0"/>
    <x v="1"/>
    <n v="40000"/>
    <x v="0"/>
    <x v="0"/>
    <x v="0"/>
    <x v="0"/>
    <x v="0"/>
    <x v="0"/>
    <x v="0"/>
    <n v="42"/>
    <x v="0"/>
    <x v="1"/>
  </r>
  <r>
    <n v="16614"/>
    <x v="0"/>
    <x v="0"/>
    <n v="80000"/>
    <x v="3"/>
    <x v="0"/>
    <x v="2"/>
    <x v="0"/>
    <x v="4"/>
    <x v="4"/>
    <x v="1"/>
    <n v="32"/>
    <x v="0"/>
    <x v="0"/>
  </r>
  <r>
    <n v="20877"/>
    <x v="1"/>
    <x v="1"/>
    <n v="30000"/>
    <x v="0"/>
    <x v="0"/>
    <x v="1"/>
    <x v="0"/>
    <x v="0"/>
    <x v="3"/>
    <x v="0"/>
    <n v="37"/>
    <x v="0"/>
    <x v="1"/>
  </r>
  <r>
    <n v="20729"/>
    <x v="0"/>
    <x v="0"/>
    <n v="40000"/>
    <x v="4"/>
    <x v="1"/>
    <x v="1"/>
    <x v="1"/>
    <x v="1"/>
    <x v="0"/>
    <x v="0"/>
    <n v="34"/>
    <x v="0"/>
    <x v="0"/>
  </r>
  <r>
    <n v="22464"/>
    <x v="0"/>
    <x v="1"/>
    <n v="40000"/>
    <x v="3"/>
    <x v="4"/>
    <x v="1"/>
    <x v="0"/>
    <x v="0"/>
    <x v="0"/>
    <x v="0"/>
    <n v="37"/>
    <x v="0"/>
    <x v="1"/>
  </r>
  <r>
    <n v="19475"/>
    <x v="0"/>
    <x v="0"/>
    <n v="40000"/>
    <x v="3"/>
    <x v="0"/>
    <x v="2"/>
    <x v="1"/>
    <x v="0"/>
    <x v="0"/>
    <x v="0"/>
    <n v="40"/>
    <x v="0"/>
    <x v="1"/>
  </r>
  <r>
    <n v="19675"/>
    <x v="0"/>
    <x v="1"/>
    <n v="20000"/>
    <x v="5"/>
    <x v="2"/>
    <x v="0"/>
    <x v="0"/>
    <x v="2"/>
    <x v="2"/>
    <x v="1"/>
    <n v="60"/>
    <x v="1"/>
    <x v="0"/>
  </r>
  <r>
    <n v="12728"/>
    <x v="1"/>
    <x v="1"/>
    <n v="30000"/>
    <x v="3"/>
    <x v="1"/>
    <x v="1"/>
    <x v="1"/>
    <x v="1"/>
    <x v="3"/>
    <x v="0"/>
    <n v="27"/>
    <x v="2"/>
    <x v="0"/>
  </r>
  <r>
    <n v="26154"/>
    <x v="0"/>
    <x v="1"/>
    <n v="60000"/>
    <x v="0"/>
    <x v="1"/>
    <x v="0"/>
    <x v="0"/>
    <x v="1"/>
    <x v="2"/>
    <x v="1"/>
    <n v="43"/>
    <x v="0"/>
    <x v="1"/>
  </r>
  <r>
    <n v="29117"/>
    <x v="1"/>
    <x v="1"/>
    <n v="100000"/>
    <x v="0"/>
    <x v="0"/>
    <x v="4"/>
    <x v="1"/>
    <x v="4"/>
    <x v="0"/>
    <x v="1"/>
    <n v="48"/>
    <x v="0"/>
    <x v="0"/>
  </r>
  <r>
    <n v="17845"/>
    <x v="1"/>
    <x v="0"/>
    <n v="20000"/>
    <x v="3"/>
    <x v="3"/>
    <x v="3"/>
    <x v="1"/>
    <x v="2"/>
    <x v="3"/>
    <x v="0"/>
    <n v="32"/>
    <x v="0"/>
    <x v="0"/>
  </r>
  <r>
    <n v="25058"/>
    <x v="0"/>
    <x v="1"/>
    <n v="100000"/>
    <x v="0"/>
    <x v="0"/>
    <x v="4"/>
    <x v="0"/>
    <x v="4"/>
    <x v="1"/>
    <x v="1"/>
    <n v="47"/>
    <x v="0"/>
    <x v="0"/>
  </r>
  <r>
    <n v="23426"/>
    <x v="1"/>
    <x v="1"/>
    <n v="80000"/>
    <x v="2"/>
    <x v="4"/>
    <x v="4"/>
    <x v="0"/>
    <x v="4"/>
    <x v="0"/>
    <x v="1"/>
    <n v="40"/>
    <x v="0"/>
    <x v="0"/>
  </r>
  <r>
    <n v="14798"/>
    <x v="1"/>
    <x v="0"/>
    <n v="10000"/>
    <x v="5"/>
    <x v="3"/>
    <x v="3"/>
    <x v="0"/>
    <x v="2"/>
    <x v="0"/>
    <x v="0"/>
    <n v="41"/>
    <x v="0"/>
    <x v="1"/>
  </r>
  <r>
    <n v="12664"/>
    <x v="0"/>
    <x v="0"/>
    <n v="130000"/>
    <x v="2"/>
    <x v="1"/>
    <x v="2"/>
    <x v="0"/>
    <x v="3"/>
    <x v="0"/>
    <x v="0"/>
    <n v="59"/>
    <x v="1"/>
    <x v="0"/>
  </r>
  <r>
    <n v="23979"/>
    <x v="1"/>
    <x v="1"/>
    <n v="10000"/>
    <x v="4"/>
    <x v="1"/>
    <x v="3"/>
    <x v="1"/>
    <x v="0"/>
    <x v="0"/>
    <x v="0"/>
    <n v="50"/>
    <x v="0"/>
    <x v="0"/>
  </r>
  <r>
    <n v="25605"/>
    <x v="1"/>
    <x v="0"/>
    <n v="20000"/>
    <x v="4"/>
    <x v="1"/>
    <x v="3"/>
    <x v="1"/>
    <x v="1"/>
    <x v="0"/>
    <x v="0"/>
    <n v="54"/>
    <x v="0"/>
    <x v="1"/>
  </r>
  <r>
    <n v="20797"/>
    <x v="0"/>
    <x v="0"/>
    <n v="10000"/>
    <x v="0"/>
    <x v="0"/>
    <x v="3"/>
    <x v="0"/>
    <x v="0"/>
    <x v="0"/>
    <x v="0"/>
    <n v="48"/>
    <x v="0"/>
    <x v="0"/>
  </r>
  <r>
    <n v="21980"/>
    <x v="1"/>
    <x v="0"/>
    <n v="60000"/>
    <x v="0"/>
    <x v="0"/>
    <x v="2"/>
    <x v="0"/>
    <x v="1"/>
    <x v="2"/>
    <x v="1"/>
    <n v="44"/>
    <x v="0"/>
    <x v="1"/>
  </r>
  <r>
    <n v="25460"/>
    <x v="0"/>
    <x v="0"/>
    <n v="20000"/>
    <x v="4"/>
    <x v="2"/>
    <x v="3"/>
    <x v="0"/>
    <x v="0"/>
    <x v="0"/>
    <x v="0"/>
    <n v="40"/>
    <x v="0"/>
    <x v="1"/>
  </r>
  <r>
    <n v="29181"/>
    <x v="1"/>
    <x v="0"/>
    <n v="60000"/>
    <x v="4"/>
    <x v="0"/>
    <x v="2"/>
    <x v="1"/>
    <x v="1"/>
    <x v="0"/>
    <x v="1"/>
    <n v="38"/>
    <x v="0"/>
    <x v="1"/>
  </r>
  <r>
    <n v="24279"/>
    <x v="1"/>
    <x v="1"/>
    <n v="40000"/>
    <x v="4"/>
    <x v="1"/>
    <x v="0"/>
    <x v="1"/>
    <x v="2"/>
    <x v="3"/>
    <x v="1"/>
    <n v="52"/>
    <x v="0"/>
    <x v="0"/>
  </r>
  <r>
    <n v="22402"/>
    <x v="0"/>
    <x v="1"/>
    <n v="10000"/>
    <x v="3"/>
    <x v="1"/>
    <x v="3"/>
    <x v="0"/>
    <x v="1"/>
    <x v="1"/>
    <x v="1"/>
    <n v="25"/>
    <x v="2"/>
    <x v="1"/>
  </r>
  <r>
    <n v="15465"/>
    <x v="0"/>
    <x v="0"/>
    <n v="10000"/>
    <x v="3"/>
    <x v="1"/>
    <x v="3"/>
    <x v="1"/>
    <x v="1"/>
    <x v="0"/>
    <x v="1"/>
    <n v="25"/>
    <x v="2"/>
    <x v="0"/>
  </r>
  <r>
    <n v="26757"/>
    <x v="1"/>
    <x v="1"/>
    <n v="90000"/>
    <x v="0"/>
    <x v="0"/>
    <x v="2"/>
    <x v="0"/>
    <x v="1"/>
    <x v="1"/>
    <x v="1"/>
    <n v="47"/>
    <x v="0"/>
    <x v="1"/>
  </r>
  <r>
    <n v="14233"/>
    <x v="1"/>
    <x v="1"/>
    <n v="100000"/>
    <x v="3"/>
    <x v="2"/>
    <x v="4"/>
    <x v="0"/>
    <x v="4"/>
    <x v="4"/>
    <x v="1"/>
    <n v="35"/>
    <x v="0"/>
    <x v="0"/>
  </r>
  <r>
    <n v="14058"/>
    <x v="1"/>
    <x v="1"/>
    <n v="70000"/>
    <x v="3"/>
    <x v="0"/>
    <x v="2"/>
    <x v="1"/>
    <x v="1"/>
    <x v="2"/>
    <x v="1"/>
    <n v="41"/>
    <x v="0"/>
    <x v="1"/>
  </r>
  <r>
    <n v="12273"/>
    <x v="0"/>
    <x v="1"/>
    <n v="30000"/>
    <x v="0"/>
    <x v="0"/>
    <x v="1"/>
    <x v="0"/>
    <x v="0"/>
    <x v="0"/>
    <x v="0"/>
    <n v="47"/>
    <x v="0"/>
    <x v="0"/>
  </r>
  <r>
    <n v="17203"/>
    <x v="0"/>
    <x v="0"/>
    <n v="130000"/>
    <x v="5"/>
    <x v="1"/>
    <x v="2"/>
    <x v="0"/>
    <x v="3"/>
    <x v="2"/>
    <x v="0"/>
    <n v="61"/>
    <x v="1"/>
    <x v="1"/>
  </r>
  <r>
    <n v="18144"/>
    <x v="0"/>
    <x v="0"/>
    <n v="80000"/>
    <x v="2"/>
    <x v="0"/>
    <x v="4"/>
    <x v="0"/>
    <x v="2"/>
    <x v="1"/>
    <x v="0"/>
    <n v="61"/>
    <x v="1"/>
    <x v="0"/>
  </r>
  <r>
    <n v="23963"/>
    <x v="0"/>
    <x v="1"/>
    <n v="10000"/>
    <x v="3"/>
    <x v="3"/>
    <x v="3"/>
    <x v="1"/>
    <x v="2"/>
    <x v="0"/>
    <x v="0"/>
    <n v="33"/>
    <x v="0"/>
    <x v="0"/>
  </r>
  <r>
    <n v="17907"/>
    <x v="0"/>
    <x v="0"/>
    <n v="10000"/>
    <x v="3"/>
    <x v="1"/>
    <x v="3"/>
    <x v="0"/>
    <x v="1"/>
    <x v="1"/>
    <x v="1"/>
    <n v="27"/>
    <x v="2"/>
    <x v="0"/>
  </r>
  <r>
    <n v="19442"/>
    <x v="1"/>
    <x v="1"/>
    <n v="50000"/>
    <x v="3"/>
    <x v="4"/>
    <x v="0"/>
    <x v="0"/>
    <x v="0"/>
    <x v="0"/>
    <x v="0"/>
    <n v="37"/>
    <x v="0"/>
    <x v="1"/>
  </r>
  <r>
    <n v="17504"/>
    <x v="1"/>
    <x v="0"/>
    <n v="80000"/>
    <x v="4"/>
    <x v="1"/>
    <x v="0"/>
    <x v="0"/>
    <x v="2"/>
    <x v="2"/>
    <x v="1"/>
    <n v="52"/>
    <x v="0"/>
    <x v="1"/>
  </r>
  <r>
    <n v="12253"/>
    <x v="1"/>
    <x v="0"/>
    <n v="20000"/>
    <x v="3"/>
    <x v="1"/>
    <x v="3"/>
    <x v="0"/>
    <x v="0"/>
    <x v="0"/>
    <x v="1"/>
    <n v="29"/>
    <x v="2"/>
    <x v="1"/>
  </r>
  <r>
    <n v="27304"/>
    <x v="1"/>
    <x v="0"/>
    <n v="110000"/>
    <x v="4"/>
    <x v="1"/>
    <x v="2"/>
    <x v="1"/>
    <x v="4"/>
    <x v="2"/>
    <x v="0"/>
    <n v="48"/>
    <x v="0"/>
    <x v="0"/>
  </r>
  <r>
    <n v="14191"/>
    <x v="0"/>
    <x v="1"/>
    <n v="160000"/>
    <x v="5"/>
    <x v="1"/>
    <x v="2"/>
    <x v="1"/>
    <x v="2"/>
    <x v="4"/>
    <x v="0"/>
    <n v="55"/>
    <x v="0"/>
    <x v="1"/>
  </r>
  <r>
    <n v="12212"/>
    <x v="0"/>
    <x v="0"/>
    <n v="10000"/>
    <x v="3"/>
    <x v="4"/>
    <x v="3"/>
    <x v="0"/>
    <x v="0"/>
    <x v="0"/>
    <x v="0"/>
    <n v="37"/>
    <x v="0"/>
    <x v="1"/>
  </r>
  <r>
    <n v="25529"/>
    <x v="1"/>
    <x v="1"/>
    <n v="10000"/>
    <x v="0"/>
    <x v="4"/>
    <x v="3"/>
    <x v="0"/>
    <x v="0"/>
    <x v="0"/>
    <x v="0"/>
    <n v="44"/>
    <x v="0"/>
    <x v="0"/>
  </r>
  <r>
    <n v="22170"/>
    <x v="0"/>
    <x v="0"/>
    <n v="30000"/>
    <x v="1"/>
    <x v="1"/>
    <x v="1"/>
    <x v="1"/>
    <x v="2"/>
    <x v="3"/>
    <x v="1"/>
    <n v="55"/>
    <x v="0"/>
    <x v="1"/>
  </r>
  <r>
    <n v="19445"/>
    <x v="0"/>
    <x v="0"/>
    <n v="10000"/>
    <x v="4"/>
    <x v="2"/>
    <x v="3"/>
    <x v="1"/>
    <x v="1"/>
    <x v="0"/>
    <x v="0"/>
    <n v="38"/>
    <x v="0"/>
    <x v="0"/>
  </r>
  <r>
    <n v="15265"/>
    <x v="1"/>
    <x v="1"/>
    <n v="40000"/>
    <x v="4"/>
    <x v="0"/>
    <x v="4"/>
    <x v="0"/>
    <x v="2"/>
    <x v="2"/>
    <x v="1"/>
    <n v="66"/>
    <x v="1"/>
    <x v="1"/>
  </r>
  <r>
    <n v="28918"/>
    <x v="0"/>
    <x v="0"/>
    <n v="130000"/>
    <x v="5"/>
    <x v="2"/>
    <x v="4"/>
    <x v="1"/>
    <x v="3"/>
    <x v="4"/>
    <x v="0"/>
    <n v="58"/>
    <x v="1"/>
    <x v="0"/>
  </r>
  <r>
    <n v="15799"/>
    <x v="0"/>
    <x v="0"/>
    <n v="90000"/>
    <x v="0"/>
    <x v="0"/>
    <x v="2"/>
    <x v="0"/>
    <x v="1"/>
    <x v="1"/>
    <x v="1"/>
    <n v="47"/>
    <x v="0"/>
    <x v="1"/>
  </r>
  <r>
    <n v="11047"/>
    <x v="0"/>
    <x v="0"/>
    <n v="30000"/>
    <x v="1"/>
    <x v="2"/>
    <x v="0"/>
    <x v="1"/>
    <x v="2"/>
    <x v="3"/>
    <x v="1"/>
    <n v="56"/>
    <x v="1"/>
    <x v="1"/>
  </r>
  <r>
    <n v="18151"/>
    <x v="1"/>
    <x v="1"/>
    <n v="80000"/>
    <x v="2"/>
    <x v="1"/>
    <x v="2"/>
    <x v="1"/>
    <x v="2"/>
    <x v="4"/>
    <x v="0"/>
    <n v="59"/>
    <x v="1"/>
    <x v="0"/>
  </r>
  <r>
    <n v="20606"/>
    <x v="0"/>
    <x v="0"/>
    <n v="70000"/>
    <x v="3"/>
    <x v="0"/>
    <x v="2"/>
    <x v="0"/>
    <x v="3"/>
    <x v="4"/>
    <x v="1"/>
    <n v="32"/>
    <x v="0"/>
    <x v="1"/>
  </r>
  <r>
    <n v="19482"/>
    <x v="0"/>
    <x v="1"/>
    <n v="30000"/>
    <x v="0"/>
    <x v="1"/>
    <x v="1"/>
    <x v="0"/>
    <x v="1"/>
    <x v="0"/>
    <x v="0"/>
    <n v="44"/>
    <x v="0"/>
    <x v="1"/>
  </r>
  <r>
    <n v="16489"/>
    <x v="0"/>
    <x v="1"/>
    <n v="30000"/>
    <x v="1"/>
    <x v="2"/>
    <x v="0"/>
    <x v="0"/>
    <x v="2"/>
    <x v="2"/>
    <x v="1"/>
    <n v="55"/>
    <x v="0"/>
    <x v="0"/>
  </r>
  <r>
    <n v="26944"/>
    <x v="1"/>
    <x v="1"/>
    <n v="90000"/>
    <x v="4"/>
    <x v="2"/>
    <x v="3"/>
    <x v="0"/>
    <x v="0"/>
    <x v="0"/>
    <x v="0"/>
    <n v="36"/>
    <x v="0"/>
    <x v="1"/>
  </r>
  <r>
    <n v="15682"/>
    <x v="1"/>
    <x v="0"/>
    <n v="80000"/>
    <x v="2"/>
    <x v="0"/>
    <x v="4"/>
    <x v="0"/>
    <x v="2"/>
    <x v="4"/>
    <x v="0"/>
    <n v="62"/>
    <x v="1"/>
    <x v="0"/>
  </r>
  <r>
    <n v="26032"/>
    <x v="0"/>
    <x v="0"/>
    <n v="70000"/>
    <x v="2"/>
    <x v="0"/>
    <x v="2"/>
    <x v="0"/>
    <x v="3"/>
    <x v="4"/>
    <x v="1"/>
    <n v="41"/>
    <x v="0"/>
    <x v="0"/>
  </r>
  <r>
    <n v="17843"/>
    <x v="1"/>
    <x v="0"/>
    <n v="10000"/>
    <x v="3"/>
    <x v="3"/>
    <x v="3"/>
    <x v="1"/>
    <x v="2"/>
    <x v="0"/>
    <x v="0"/>
    <n v="32"/>
    <x v="0"/>
    <x v="0"/>
  </r>
  <r>
    <n v="25559"/>
    <x v="1"/>
    <x v="1"/>
    <n v="20000"/>
    <x v="3"/>
    <x v="0"/>
    <x v="1"/>
    <x v="0"/>
    <x v="0"/>
    <x v="0"/>
    <x v="1"/>
    <n v="25"/>
    <x v="2"/>
    <x v="1"/>
  </r>
  <r>
    <n v="16209"/>
    <x v="1"/>
    <x v="0"/>
    <n v="50000"/>
    <x v="3"/>
    <x v="4"/>
    <x v="0"/>
    <x v="0"/>
    <x v="0"/>
    <x v="3"/>
    <x v="0"/>
    <n v="36"/>
    <x v="0"/>
    <x v="0"/>
  </r>
  <r>
    <n v="11147"/>
    <x v="0"/>
    <x v="1"/>
    <n v="60000"/>
    <x v="4"/>
    <x v="4"/>
    <x v="4"/>
    <x v="0"/>
    <x v="1"/>
    <x v="0"/>
    <x v="1"/>
    <n v="67"/>
    <x v="1"/>
    <x v="1"/>
  </r>
  <r>
    <n v="15214"/>
    <x v="1"/>
    <x v="0"/>
    <n v="100000"/>
    <x v="3"/>
    <x v="4"/>
    <x v="4"/>
    <x v="1"/>
    <x v="1"/>
    <x v="3"/>
    <x v="1"/>
    <n v="39"/>
    <x v="0"/>
    <x v="1"/>
  </r>
  <r>
    <n v="11453"/>
    <x v="1"/>
    <x v="1"/>
    <n v="80000"/>
    <x v="3"/>
    <x v="0"/>
    <x v="2"/>
    <x v="1"/>
    <x v="4"/>
    <x v="4"/>
    <x v="1"/>
    <n v="33"/>
    <x v="0"/>
    <x v="1"/>
  </r>
  <r>
    <n v="24584"/>
    <x v="1"/>
    <x v="1"/>
    <n v="60000"/>
    <x v="3"/>
    <x v="0"/>
    <x v="2"/>
    <x v="1"/>
    <x v="4"/>
    <x v="1"/>
    <x v="1"/>
    <n v="31"/>
    <x v="0"/>
    <x v="0"/>
  </r>
  <r>
    <n v="12585"/>
    <x v="0"/>
    <x v="1"/>
    <n v="10000"/>
    <x v="0"/>
    <x v="2"/>
    <x v="3"/>
    <x v="0"/>
    <x v="0"/>
    <x v="1"/>
    <x v="1"/>
    <n v="27"/>
    <x v="2"/>
    <x v="1"/>
  </r>
  <r>
    <n v="18626"/>
    <x v="1"/>
    <x v="1"/>
    <n v="40000"/>
    <x v="4"/>
    <x v="1"/>
    <x v="1"/>
    <x v="0"/>
    <x v="0"/>
    <x v="3"/>
    <x v="0"/>
    <n v="33"/>
    <x v="0"/>
    <x v="1"/>
  </r>
  <r>
    <n v="29298"/>
    <x v="1"/>
    <x v="0"/>
    <n v="60000"/>
    <x v="0"/>
    <x v="1"/>
    <x v="0"/>
    <x v="0"/>
    <x v="1"/>
    <x v="2"/>
    <x v="1"/>
    <n v="46"/>
    <x v="0"/>
    <x v="1"/>
  </r>
  <r>
    <n v="24842"/>
    <x v="1"/>
    <x v="0"/>
    <n v="90000"/>
    <x v="1"/>
    <x v="2"/>
    <x v="2"/>
    <x v="1"/>
    <x v="1"/>
    <x v="1"/>
    <x v="0"/>
    <n v="51"/>
    <x v="0"/>
    <x v="0"/>
  </r>
  <r>
    <n v="15657"/>
    <x v="0"/>
    <x v="1"/>
    <n v="30000"/>
    <x v="1"/>
    <x v="4"/>
    <x v="1"/>
    <x v="0"/>
    <x v="0"/>
    <x v="0"/>
    <x v="0"/>
    <n v="46"/>
    <x v="0"/>
    <x v="1"/>
  </r>
  <r>
    <n v="11415"/>
    <x v="1"/>
    <x v="1"/>
    <n v="90000"/>
    <x v="2"/>
    <x v="1"/>
    <x v="2"/>
    <x v="1"/>
    <x v="2"/>
    <x v="4"/>
    <x v="0"/>
    <n v="62"/>
    <x v="1"/>
    <x v="0"/>
  </r>
  <r>
    <n v="28729"/>
    <x v="1"/>
    <x v="0"/>
    <n v="20000"/>
    <x v="3"/>
    <x v="3"/>
    <x v="3"/>
    <x v="0"/>
    <x v="2"/>
    <x v="3"/>
    <x v="0"/>
    <n v="26"/>
    <x v="2"/>
    <x v="1"/>
  </r>
  <r>
    <n v="22633"/>
    <x v="1"/>
    <x v="0"/>
    <n v="40000"/>
    <x v="3"/>
    <x v="4"/>
    <x v="1"/>
    <x v="0"/>
    <x v="0"/>
    <x v="0"/>
    <x v="0"/>
    <n v="37"/>
    <x v="0"/>
    <x v="1"/>
  </r>
  <r>
    <n v="25649"/>
    <x v="1"/>
    <x v="0"/>
    <n v="30000"/>
    <x v="1"/>
    <x v="1"/>
    <x v="1"/>
    <x v="0"/>
    <x v="0"/>
    <x v="0"/>
    <x v="0"/>
    <n v="42"/>
    <x v="0"/>
    <x v="1"/>
  </r>
  <r>
    <n v="14669"/>
    <x v="0"/>
    <x v="0"/>
    <n v="80000"/>
    <x v="5"/>
    <x v="4"/>
    <x v="4"/>
    <x v="0"/>
    <x v="1"/>
    <x v="0"/>
    <x v="1"/>
    <n v="36"/>
    <x v="0"/>
    <x v="0"/>
  </r>
  <r>
    <n v="19299"/>
    <x v="0"/>
    <x v="0"/>
    <n v="50000"/>
    <x v="3"/>
    <x v="4"/>
    <x v="0"/>
    <x v="0"/>
    <x v="0"/>
    <x v="0"/>
    <x v="0"/>
    <n v="36"/>
    <x v="0"/>
    <x v="1"/>
  </r>
  <r>
    <n v="20946"/>
    <x v="1"/>
    <x v="0"/>
    <n v="30000"/>
    <x v="3"/>
    <x v="1"/>
    <x v="1"/>
    <x v="1"/>
    <x v="1"/>
    <x v="1"/>
    <x v="0"/>
    <n v="30"/>
    <x v="2"/>
    <x v="0"/>
  </r>
  <r>
    <n v="11451"/>
    <x v="1"/>
    <x v="1"/>
    <n v="70000"/>
    <x v="3"/>
    <x v="0"/>
    <x v="2"/>
    <x v="1"/>
    <x v="3"/>
    <x v="4"/>
    <x v="1"/>
    <n v="31"/>
    <x v="0"/>
    <x v="1"/>
  </r>
  <r>
    <n v="25553"/>
    <x v="0"/>
    <x v="1"/>
    <n v="30000"/>
    <x v="0"/>
    <x v="0"/>
    <x v="1"/>
    <x v="0"/>
    <x v="0"/>
    <x v="0"/>
    <x v="0"/>
    <n v="65"/>
    <x v="1"/>
    <x v="1"/>
  </r>
  <r>
    <n v="27951"/>
    <x v="1"/>
    <x v="1"/>
    <n v="80000"/>
    <x v="5"/>
    <x v="1"/>
    <x v="2"/>
    <x v="1"/>
    <x v="2"/>
    <x v="1"/>
    <x v="0"/>
    <n v="54"/>
    <x v="0"/>
    <x v="1"/>
  </r>
  <r>
    <n v="25026"/>
    <x v="0"/>
    <x v="1"/>
    <n v="20000"/>
    <x v="4"/>
    <x v="3"/>
    <x v="1"/>
    <x v="0"/>
    <x v="4"/>
    <x v="2"/>
    <x v="1"/>
    <n v="54"/>
    <x v="0"/>
    <x v="0"/>
  </r>
  <r>
    <n v="13673"/>
    <x v="1"/>
    <x v="0"/>
    <n v="20000"/>
    <x v="3"/>
    <x v="3"/>
    <x v="3"/>
    <x v="1"/>
    <x v="2"/>
    <x v="0"/>
    <x v="0"/>
    <n v="25"/>
    <x v="2"/>
    <x v="0"/>
  </r>
  <r>
    <n v="16043"/>
    <x v="1"/>
    <x v="1"/>
    <n v="10000"/>
    <x v="0"/>
    <x v="0"/>
    <x v="3"/>
    <x v="0"/>
    <x v="0"/>
    <x v="0"/>
    <x v="0"/>
    <n v="48"/>
    <x v="0"/>
    <x v="0"/>
  </r>
  <r>
    <n v="22399"/>
    <x v="1"/>
    <x v="1"/>
    <n v="10000"/>
    <x v="3"/>
    <x v="1"/>
    <x v="3"/>
    <x v="0"/>
    <x v="1"/>
    <x v="3"/>
    <x v="1"/>
    <n v="26"/>
    <x v="2"/>
    <x v="1"/>
  </r>
  <r>
    <n v="27696"/>
    <x v="0"/>
    <x v="1"/>
    <n v="60000"/>
    <x v="0"/>
    <x v="0"/>
    <x v="2"/>
    <x v="0"/>
    <x v="1"/>
    <x v="2"/>
    <x v="1"/>
    <n v="43"/>
    <x v="0"/>
    <x v="1"/>
  </r>
  <r>
    <n v="25313"/>
    <x v="1"/>
    <x v="1"/>
    <n v="10000"/>
    <x v="3"/>
    <x v="3"/>
    <x v="3"/>
    <x v="1"/>
    <x v="2"/>
    <x v="3"/>
    <x v="0"/>
    <n v="35"/>
    <x v="0"/>
    <x v="0"/>
  </r>
  <r>
    <n v="13813"/>
    <x v="0"/>
    <x v="0"/>
    <n v="30000"/>
    <x v="1"/>
    <x v="1"/>
    <x v="1"/>
    <x v="1"/>
    <x v="0"/>
    <x v="0"/>
    <x v="0"/>
    <n v="42"/>
    <x v="0"/>
    <x v="0"/>
  </r>
  <r>
    <n v="18711"/>
    <x v="1"/>
    <x v="0"/>
    <n v="70000"/>
    <x v="2"/>
    <x v="0"/>
    <x v="2"/>
    <x v="0"/>
    <x v="3"/>
    <x v="4"/>
    <x v="1"/>
    <n v="39"/>
    <x v="0"/>
    <x v="0"/>
  </r>
  <r>
    <n v="19650"/>
    <x v="0"/>
    <x v="0"/>
    <n v="30000"/>
    <x v="4"/>
    <x v="1"/>
    <x v="1"/>
    <x v="1"/>
    <x v="2"/>
    <x v="0"/>
    <x v="1"/>
    <n v="67"/>
    <x v="1"/>
    <x v="0"/>
  </r>
  <r>
    <n v="14135"/>
    <x v="0"/>
    <x v="1"/>
    <n v="20000"/>
    <x v="0"/>
    <x v="1"/>
    <x v="3"/>
    <x v="0"/>
    <x v="0"/>
    <x v="3"/>
    <x v="0"/>
    <n v="35"/>
    <x v="0"/>
    <x v="0"/>
  </r>
  <r>
    <n v="12833"/>
    <x v="1"/>
    <x v="0"/>
    <n v="20000"/>
    <x v="1"/>
    <x v="2"/>
    <x v="3"/>
    <x v="0"/>
    <x v="1"/>
    <x v="0"/>
    <x v="0"/>
    <n v="42"/>
    <x v="0"/>
    <x v="1"/>
  </r>
  <r>
    <n v="26849"/>
    <x v="0"/>
    <x v="1"/>
    <n v="10000"/>
    <x v="1"/>
    <x v="3"/>
    <x v="3"/>
    <x v="0"/>
    <x v="2"/>
    <x v="0"/>
    <x v="0"/>
    <n v="43"/>
    <x v="0"/>
    <x v="0"/>
  </r>
  <r>
    <n v="20962"/>
    <x v="0"/>
    <x v="0"/>
    <n v="20000"/>
    <x v="0"/>
    <x v="4"/>
    <x v="1"/>
    <x v="0"/>
    <x v="0"/>
    <x v="0"/>
    <x v="0"/>
    <n v="45"/>
    <x v="0"/>
    <x v="0"/>
  </r>
  <r>
    <n v="28915"/>
    <x v="1"/>
    <x v="1"/>
    <n v="80000"/>
    <x v="2"/>
    <x v="2"/>
    <x v="4"/>
    <x v="0"/>
    <x v="4"/>
    <x v="4"/>
    <x v="0"/>
    <n v="57"/>
    <x v="1"/>
    <x v="0"/>
  </r>
  <r>
    <n v="22830"/>
    <x v="0"/>
    <x v="1"/>
    <n v="120000"/>
    <x v="5"/>
    <x v="1"/>
    <x v="4"/>
    <x v="0"/>
    <x v="4"/>
    <x v="4"/>
    <x v="0"/>
    <n v="56"/>
    <x v="1"/>
    <x v="0"/>
  </r>
  <r>
    <n v="14777"/>
    <x v="0"/>
    <x v="0"/>
    <n v="40000"/>
    <x v="3"/>
    <x v="0"/>
    <x v="1"/>
    <x v="0"/>
    <x v="0"/>
    <x v="0"/>
    <x v="0"/>
    <n v="38"/>
    <x v="0"/>
    <x v="1"/>
  </r>
  <r>
    <n v="12591"/>
    <x v="0"/>
    <x v="0"/>
    <n v="30000"/>
    <x v="5"/>
    <x v="4"/>
    <x v="1"/>
    <x v="0"/>
    <x v="0"/>
    <x v="0"/>
    <x v="0"/>
    <n v="45"/>
    <x v="0"/>
    <x v="0"/>
  </r>
  <r>
    <n v="24174"/>
    <x v="0"/>
    <x v="1"/>
    <n v="20000"/>
    <x v="3"/>
    <x v="0"/>
    <x v="1"/>
    <x v="0"/>
    <x v="0"/>
    <x v="0"/>
    <x v="1"/>
    <n v="27"/>
    <x v="2"/>
    <x v="1"/>
  </r>
  <r>
    <n v="24611"/>
    <x v="1"/>
    <x v="1"/>
    <n v="90000"/>
    <x v="3"/>
    <x v="0"/>
    <x v="2"/>
    <x v="1"/>
    <x v="3"/>
    <x v="4"/>
    <x v="1"/>
    <n v="35"/>
    <x v="0"/>
    <x v="1"/>
  </r>
  <r>
    <n v="11340"/>
    <x v="0"/>
    <x v="0"/>
    <n v="10000"/>
    <x v="0"/>
    <x v="4"/>
    <x v="1"/>
    <x v="0"/>
    <x v="0"/>
    <x v="0"/>
    <x v="0"/>
    <n v="70"/>
    <x v="1"/>
    <x v="1"/>
  </r>
  <r>
    <n v="25693"/>
    <x v="1"/>
    <x v="0"/>
    <n v="30000"/>
    <x v="2"/>
    <x v="4"/>
    <x v="1"/>
    <x v="0"/>
    <x v="0"/>
    <x v="0"/>
    <x v="0"/>
    <n v="44"/>
    <x v="0"/>
    <x v="1"/>
  </r>
  <r>
    <n v="25555"/>
    <x v="0"/>
    <x v="0"/>
    <n v="10000"/>
    <x v="3"/>
    <x v="1"/>
    <x v="3"/>
    <x v="1"/>
    <x v="1"/>
    <x v="0"/>
    <x v="1"/>
    <n v="26"/>
    <x v="2"/>
    <x v="1"/>
  </r>
  <r>
    <n v="22006"/>
    <x v="0"/>
    <x v="1"/>
    <n v="70000"/>
    <x v="2"/>
    <x v="1"/>
    <x v="0"/>
    <x v="0"/>
    <x v="4"/>
    <x v="2"/>
    <x v="1"/>
    <n v="46"/>
    <x v="0"/>
    <x v="0"/>
  </r>
  <r>
    <n v="20060"/>
    <x v="1"/>
    <x v="0"/>
    <n v="30000"/>
    <x v="3"/>
    <x v="2"/>
    <x v="3"/>
    <x v="1"/>
    <x v="1"/>
    <x v="1"/>
    <x v="0"/>
    <n v="34"/>
    <x v="0"/>
    <x v="1"/>
  </r>
  <r>
    <n v="17702"/>
    <x v="0"/>
    <x v="1"/>
    <n v="10000"/>
    <x v="0"/>
    <x v="4"/>
    <x v="3"/>
    <x v="0"/>
    <x v="0"/>
    <x v="0"/>
    <x v="0"/>
    <n v="37"/>
    <x v="0"/>
    <x v="0"/>
  </r>
  <r>
    <n v="12503"/>
    <x v="1"/>
    <x v="0"/>
    <n v="30000"/>
    <x v="1"/>
    <x v="1"/>
    <x v="1"/>
    <x v="0"/>
    <x v="2"/>
    <x v="0"/>
    <x v="0"/>
    <n v="27"/>
    <x v="2"/>
    <x v="0"/>
  </r>
  <r>
    <n v="23908"/>
    <x v="1"/>
    <x v="1"/>
    <n v="30000"/>
    <x v="0"/>
    <x v="0"/>
    <x v="1"/>
    <x v="1"/>
    <x v="1"/>
    <x v="0"/>
    <x v="0"/>
    <n v="39"/>
    <x v="0"/>
    <x v="1"/>
  </r>
  <r>
    <n v="22527"/>
    <x v="1"/>
    <x v="0"/>
    <n v="20000"/>
    <x v="3"/>
    <x v="2"/>
    <x v="3"/>
    <x v="1"/>
    <x v="1"/>
    <x v="1"/>
    <x v="0"/>
    <n v="29"/>
    <x v="2"/>
    <x v="0"/>
  </r>
  <r>
    <n v="19057"/>
    <x v="0"/>
    <x v="0"/>
    <n v="120000"/>
    <x v="1"/>
    <x v="0"/>
    <x v="4"/>
    <x v="1"/>
    <x v="2"/>
    <x v="4"/>
    <x v="0"/>
    <n v="52"/>
    <x v="0"/>
    <x v="1"/>
  </r>
  <r>
    <n v="18494"/>
    <x v="0"/>
    <x v="1"/>
    <n v="110000"/>
    <x v="2"/>
    <x v="0"/>
    <x v="4"/>
    <x v="0"/>
    <x v="3"/>
    <x v="1"/>
    <x v="1"/>
    <n v="48"/>
    <x v="0"/>
    <x v="1"/>
  </r>
  <r>
    <n v="11249"/>
    <x v="0"/>
    <x v="0"/>
    <n v="130000"/>
    <x v="1"/>
    <x v="1"/>
    <x v="2"/>
    <x v="0"/>
    <x v="4"/>
    <x v="0"/>
    <x v="0"/>
    <n v="51"/>
    <x v="0"/>
    <x v="1"/>
  </r>
  <r>
    <n v="21568"/>
    <x v="0"/>
    <x v="0"/>
    <n v="100000"/>
    <x v="3"/>
    <x v="2"/>
    <x v="4"/>
    <x v="0"/>
    <x v="3"/>
    <x v="4"/>
    <x v="1"/>
    <n v="34"/>
    <x v="0"/>
    <x v="1"/>
  </r>
  <r>
    <n v="13981"/>
    <x v="0"/>
    <x v="0"/>
    <n v="10000"/>
    <x v="2"/>
    <x v="2"/>
    <x v="0"/>
    <x v="1"/>
    <x v="4"/>
    <x v="3"/>
    <x v="1"/>
    <n v="62"/>
    <x v="1"/>
    <x v="0"/>
  </r>
  <r>
    <n v="23432"/>
    <x v="1"/>
    <x v="1"/>
    <n v="70000"/>
    <x v="3"/>
    <x v="0"/>
    <x v="2"/>
    <x v="0"/>
    <x v="1"/>
    <x v="2"/>
    <x v="1"/>
    <n v="37"/>
    <x v="0"/>
    <x v="1"/>
  </r>
  <r>
    <n v="22931"/>
    <x v="0"/>
    <x v="1"/>
    <n v="100000"/>
    <x v="2"/>
    <x v="4"/>
    <x v="4"/>
    <x v="1"/>
    <x v="1"/>
    <x v="3"/>
    <x v="1"/>
    <n v="78"/>
    <x v="1"/>
    <x v="1"/>
  </r>
  <r>
    <n v="18172"/>
    <x v="0"/>
    <x v="1"/>
    <n v="130000"/>
    <x v="5"/>
    <x v="2"/>
    <x v="2"/>
    <x v="0"/>
    <x v="4"/>
    <x v="0"/>
    <x v="0"/>
    <n v="55"/>
    <x v="0"/>
    <x v="0"/>
  </r>
  <r>
    <n v="12666"/>
    <x v="1"/>
    <x v="1"/>
    <n v="60000"/>
    <x v="3"/>
    <x v="0"/>
    <x v="2"/>
    <x v="1"/>
    <x v="3"/>
    <x v="1"/>
    <x v="1"/>
    <n v="31"/>
    <x v="0"/>
    <x v="0"/>
  </r>
  <r>
    <n v="20598"/>
    <x v="0"/>
    <x v="1"/>
    <n v="100000"/>
    <x v="1"/>
    <x v="3"/>
    <x v="2"/>
    <x v="0"/>
    <x v="0"/>
    <x v="4"/>
    <x v="0"/>
    <n v="59"/>
    <x v="1"/>
    <x v="1"/>
  </r>
  <r>
    <n v="21375"/>
    <x v="1"/>
    <x v="1"/>
    <n v="20000"/>
    <x v="4"/>
    <x v="3"/>
    <x v="1"/>
    <x v="0"/>
    <x v="2"/>
    <x v="2"/>
    <x v="1"/>
    <n v="57"/>
    <x v="1"/>
    <x v="0"/>
  </r>
  <r>
    <n v="20839"/>
    <x v="1"/>
    <x v="0"/>
    <n v="30000"/>
    <x v="1"/>
    <x v="4"/>
    <x v="1"/>
    <x v="0"/>
    <x v="0"/>
    <x v="0"/>
    <x v="0"/>
    <n v="47"/>
    <x v="0"/>
    <x v="1"/>
  </r>
  <r>
    <n v="21738"/>
    <x v="0"/>
    <x v="1"/>
    <n v="20000"/>
    <x v="0"/>
    <x v="4"/>
    <x v="1"/>
    <x v="0"/>
    <x v="0"/>
    <x v="0"/>
    <x v="0"/>
    <n v="43"/>
    <x v="0"/>
    <x v="0"/>
  </r>
  <r>
    <n v="14164"/>
    <x v="1"/>
    <x v="0"/>
    <n v="50000"/>
    <x v="3"/>
    <x v="4"/>
    <x v="0"/>
    <x v="0"/>
    <x v="0"/>
    <x v="0"/>
    <x v="0"/>
    <n v="36"/>
    <x v="0"/>
    <x v="1"/>
  </r>
  <r>
    <n v="14193"/>
    <x v="1"/>
    <x v="0"/>
    <n v="100000"/>
    <x v="1"/>
    <x v="1"/>
    <x v="4"/>
    <x v="0"/>
    <x v="3"/>
    <x v="4"/>
    <x v="0"/>
    <n v="56"/>
    <x v="1"/>
    <x v="0"/>
  </r>
  <r>
    <n v="12705"/>
    <x v="0"/>
    <x v="1"/>
    <n v="150000"/>
    <x v="3"/>
    <x v="0"/>
    <x v="4"/>
    <x v="0"/>
    <x v="3"/>
    <x v="0"/>
    <x v="1"/>
    <n v="37"/>
    <x v="0"/>
    <x v="1"/>
  </r>
  <r>
    <n v="22672"/>
    <x v="1"/>
    <x v="0"/>
    <n v="30000"/>
    <x v="4"/>
    <x v="1"/>
    <x v="1"/>
    <x v="0"/>
    <x v="0"/>
    <x v="0"/>
    <x v="0"/>
    <n v="43"/>
    <x v="0"/>
    <x v="0"/>
  </r>
  <r>
    <n v="26219"/>
    <x v="0"/>
    <x v="0"/>
    <n v="40000"/>
    <x v="0"/>
    <x v="0"/>
    <x v="0"/>
    <x v="0"/>
    <x v="1"/>
    <x v="3"/>
    <x v="0"/>
    <n v="33"/>
    <x v="0"/>
    <x v="1"/>
  </r>
  <r>
    <n v="28468"/>
    <x v="0"/>
    <x v="0"/>
    <n v="10000"/>
    <x v="4"/>
    <x v="1"/>
    <x v="3"/>
    <x v="0"/>
    <x v="0"/>
    <x v="3"/>
    <x v="0"/>
    <n v="51"/>
    <x v="0"/>
    <x v="0"/>
  </r>
  <r>
    <n v="23419"/>
    <x v="1"/>
    <x v="0"/>
    <n v="70000"/>
    <x v="2"/>
    <x v="0"/>
    <x v="2"/>
    <x v="0"/>
    <x v="4"/>
    <x v="4"/>
    <x v="1"/>
    <n v="39"/>
    <x v="0"/>
    <x v="0"/>
  </r>
  <r>
    <n v="17964"/>
    <x v="0"/>
    <x v="1"/>
    <n v="40000"/>
    <x v="3"/>
    <x v="4"/>
    <x v="1"/>
    <x v="0"/>
    <x v="0"/>
    <x v="0"/>
    <x v="0"/>
    <n v="37"/>
    <x v="0"/>
    <x v="1"/>
  </r>
  <r>
    <n v="20919"/>
    <x v="1"/>
    <x v="0"/>
    <n v="30000"/>
    <x v="4"/>
    <x v="1"/>
    <x v="1"/>
    <x v="0"/>
    <x v="2"/>
    <x v="0"/>
    <x v="0"/>
    <n v="42"/>
    <x v="0"/>
    <x v="0"/>
  </r>
  <r>
    <n v="20927"/>
    <x v="1"/>
    <x v="0"/>
    <n v="20000"/>
    <x v="2"/>
    <x v="2"/>
    <x v="3"/>
    <x v="0"/>
    <x v="2"/>
    <x v="0"/>
    <x v="0"/>
    <n v="27"/>
    <x v="2"/>
    <x v="0"/>
  </r>
  <r>
    <n v="13133"/>
    <x v="1"/>
    <x v="1"/>
    <n v="100000"/>
    <x v="2"/>
    <x v="0"/>
    <x v="2"/>
    <x v="0"/>
    <x v="1"/>
    <x v="2"/>
    <x v="1"/>
    <n v="47"/>
    <x v="0"/>
    <x v="1"/>
  </r>
  <r>
    <n v="19626"/>
    <x v="0"/>
    <x v="1"/>
    <n v="70000"/>
    <x v="2"/>
    <x v="1"/>
    <x v="0"/>
    <x v="0"/>
    <x v="4"/>
    <x v="2"/>
    <x v="1"/>
    <n v="45"/>
    <x v="0"/>
    <x v="0"/>
  </r>
  <r>
    <n v="21039"/>
    <x v="1"/>
    <x v="0"/>
    <n v="50000"/>
    <x v="3"/>
    <x v="4"/>
    <x v="0"/>
    <x v="1"/>
    <x v="0"/>
    <x v="0"/>
    <x v="0"/>
    <n v="37"/>
    <x v="0"/>
    <x v="1"/>
  </r>
  <r>
    <n v="12231"/>
    <x v="1"/>
    <x v="0"/>
    <n v="10000"/>
    <x v="4"/>
    <x v="1"/>
    <x v="3"/>
    <x v="0"/>
    <x v="0"/>
    <x v="0"/>
    <x v="0"/>
    <n v="51"/>
    <x v="0"/>
    <x v="1"/>
  </r>
  <r>
    <n v="25665"/>
    <x v="1"/>
    <x v="0"/>
    <n v="20000"/>
    <x v="3"/>
    <x v="2"/>
    <x v="3"/>
    <x v="1"/>
    <x v="1"/>
    <x v="3"/>
    <x v="0"/>
    <n v="28"/>
    <x v="2"/>
    <x v="0"/>
  </r>
  <r>
    <n v="24061"/>
    <x v="0"/>
    <x v="1"/>
    <n v="10000"/>
    <x v="5"/>
    <x v="3"/>
    <x v="3"/>
    <x v="0"/>
    <x v="1"/>
    <x v="0"/>
    <x v="0"/>
    <n v="40"/>
    <x v="0"/>
    <x v="1"/>
  </r>
  <r>
    <n v="26879"/>
    <x v="1"/>
    <x v="0"/>
    <n v="20000"/>
    <x v="3"/>
    <x v="2"/>
    <x v="3"/>
    <x v="1"/>
    <x v="1"/>
    <x v="1"/>
    <x v="0"/>
    <n v="30"/>
    <x v="2"/>
    <x v="0"/>
  </r>
  <r>
    <n v="12284"/>
    <x v="0"/>
    <x v="0"/>
    <n v="30000"/>
    <x v="3"/>
    <x v="0"/>
    <x v="1"/>
    <x v="1"/>
    <x v="0"/>
    <x v="0"/>
    <x v="0"/>
    <n v="36"/>
    <x v="0"/>
    <x v="1"/>
  </r>
  <r>
    <n v="26654"/>
    <x v="0"/>
    <x v="0"/>
    <n v="90000"/>
    <x v="0"/>
    <x v="4"/>
    <x v="4"/>
    <x v="0"/>
    <x v="0"/>
    <x v="0"/>
    <x v="1"/>
    <n v="37"/>
    <x v="0"/>
    <x v="1"/>
  </r>
  <r>
    <n v="14545"/>
    <x v="0"/>
    <x v="0"/>
    <n v="10000"/>
    <x v="4"/>
    <x v="1"/>
    <x v="3"/>
    <x v="0"/>
    <x v="0"/>
    <x v="3"/>
    <x v="0"/>
    <n v="49"/>
    <x v="0"/>
    <x v="0"/>
  </r>
  <r>
    <n v="24201"/>
    <x v="0"/>
    <x v="0"/>
    <n v="10000"/>
    <x v="4"/>
    <x v="2"/>
    <x v="3"/>
    <x v="0"/>
    <x v="0"/>
    <x v="0"/>
    <x v="0"/>
    <n v="37"/>
    <x v="0"/>
    <x v="1"/>
  </r>
  <r>
    <n v="20625"/>
    <x v="0"/>
    <x v="1"/>
    <n v="100000"/>
    <x v="3"/>
    <x v="2"/>
    <x v="4"/>
    <x v="0"/>
    <x v="4"/>
    <x v="4"/>
    <x v="1"/>
    <n v="35"/>
    <x v="0"/>
    <x v="1"/>
  </r>
  <r>
    <n v="16390"/>
    <x v="1"/>
    <x v="1"/>
    <n v="30000"/>
    <x v="0"/>
    <x v="0"/>
    <x v="1"/>
    <x v="1"/>
    <x v="0"/>
    <x v="0"/>
    <x v="0"/>
    <n v="38"/>
    <x v="0"/>
    <x v="1"/>
  </r>
  <r>
    <n v="14804"/>
    <x v="1"/>
    <x v="0"/>
    <n v="10000"/>
    <x v="1"/>
    <x v="3"/>
    <x v="3"/>
    <x v="0"/>
    <x v="2"/>
    <x v="0"/>
    <x v="0"/>
    <n v="43"/>
    <x v="0"/>
    <x v="0"/>
  </r>
  <r>
    <n v="12629"/>
    <x v="1"/>
    <x v="1"/>
    <n v="20000"/>
    <x v="0"/>
    <x v="1"/>
    <x v="3"/>
    <x v="1"/>
    <x v="0"/>
    <x v="0"/>
    <x v="0"/>
    <n v="37"/>
    <x v="0"/>
    <x v="0"/>
  </r>
  <r>
    <n v="14696"/>
    <x v="1"/>
    <x v="1"/>
    <n v="10000"/>
    <x v="3"/>
    <x v="3"/>
    <x v="3"/>
    <x v="1"/>
    <x v="2"/>
    <x v="0"/>
    <x v="0"/>
    <n v="34"/>
    <x v="0"/>
    <x v="0"/>
  </r>
  <r>
    <n v="22005"/>
    <x v="0"/>
    <x v="0"/>
    <n v="70000"/>
    <x v="2"/>
    <x v="1"/>
    <x v="0"/>
    <x v="1"/>
    <x v="4"/>
    <x v="2"/>
    <x v="1"/>
    <n v="46"/>
    <x v="0"/>
    <x v="0"/>
  </r>
  <r>
    <n v="14544"/>
    <x v="1"/>
    <x v="1"/>
    <n v="10000"/>
    <x v="0"/>
    <x v="1"/>
    <x v="3"/>
    <x v="0"/>
    <x v="0"/>
    <x v="0"/>
    <x v="0"/>
    <n v="49"/>
    <x v="0"/>
    <x v="0"/>
  </r>
  <r>
    <n v="14312"/>
    <x v="0"/>
    <x v="0"/>
    <n v="60000"/>
    <x v="0"/>
    <x v="1"/>
    <x v="0"/>
    <x v="0"/>
    <x v="1"/>
    <x v="2"/>
    <x v="1"/>
    <n v="45"/>
    <x v="0"/>
    <x v="0"/>
  </r>
  <r>
    <n v="29120"/>
    <x v="1"/>
    <x v="0"/>
    <n v="100000"/>
    <x v="0"/>
    <x v="0"/>
    <x v="4"/>
    <x v="0"/>
    <x v="3"/>
    <x v="1"/>
    <x v="1"/>
    <n v="48"/>
    <x v="0"/>
    <x v="0"/>
  </r>
  <r>
    <n v="24187"/>
    <x v="1"/>
    <x v="0"/>
    <n v="30000"/>
    <x v="1"/>
    <x v="4"/>
    <x v="1"/>
    <x v="1"/>
    <x v="0"/>
    <x v="0"/>
    <x v="0"/>
    <n v="46"/>
    <x v="0"/>
    <x v="1"/>
  </r>
  <r>
    <n v="15758"/>
    <x v="0"/>
    <x v="1"/>
    <n v="130000"/>
    <x v="3"/>
    <x v="4"/>
    <x v="4"/>
    <x v="0"/>
    <x v="0"/>
    <x v="2"/>
    <x v="1"/>
    <n v="48"/>
    <x v="0"/>
    <x v="0"/>
  </r>
  <r>
    <n v="29094"/>
    <x v="0"/>
    <x v="1"/>
    <n v="30000"/>
    <x v="1"/>
    <x v="2"/>
    <x v="0"/>
    <x v="0"/>
    <x v="2"/>
    <x v="2"/>
    <x v="1"/>
    <n v="54"/>
    <x v="0"/>
    <x v="1"/>
  </r>
  <r>
    <n v="28319"/>
    <x v="1"/>
    <x v="0"/>
    <n v="60000"/>
    <x v="0"/>
    <x v="1"/>
    <x v="0"/>
    <x v="1"/>
    <x v="1"/>
    <x v="0"/>
    <x v="1"/>
    <n v="46"/>
    <x v="0"/>
    <x v="1"/>
  </r>
  <r>
    <n v="16406"/>
    <x v="0"/>
    <x v="1"/>
    <n v="40000"/>
    <x v="3"/>
    <x v="0"/>
    <x v="1"/>
    <x v="1"/>
    <x v="0"/>
    <x v="0"/>
    <x v="0"/>
    <n v="38"/>
    <x v="0"/>
    <x v="1"/>
  </r>
  <r>
    <n v="20923"/>
    <x v="0"/>
    <x v="0"/>
    <n v="40000"/>
    <x v="0"/>
    <x v="0"/>
    <x v="0"/>
    <x v="0"/>
    <x v="0"/>
    <x v="0"/>
    <x v="0"/>
    <n v="42"/>
    <x v="0"/>
    <x v="1"/>
  </r>
  <r>
    <n v="11378"/>
    <x v="1"/>
    <x v="0"/>
    <n v="10000"/>
    <x v="0"/>
    <x v="2"/>
    <x v="3"/>
    <x v="1"/>
    <x v="1"/>
    <x v="1"/>
    <x v="0"/>
    <n v="46"/>
    <x v="0"/>
    <x v="1"/>
  </r>
  <r>
    <n v="20851"/>
    <x v="1"/>
    <x v="1"/>
    <n v="20000"/>
    <x v="3"/>
    <x v="1"/>
    <x v="3"/>
    <x v="1"/>
    <x v="1"/>
    <x v="1"/>
    <x v="0"/>
    <n v="36"/>
    <x v="0"/>
    <x v="1"/>
  </r>
  <r>
    <n v="21557"/>
    <x v="1"/>
    <x v="0"/>
    <n v="110000"/>
    <x v="3"/>
    <x v="1"/>
    <x v="4"/>
    <x v="0"/>
    <x v="4"/>
    <x v="4"/>
    <x v="1"/>
    <n v="32"/>
    <x v="0"/>
    <x v="1"/>
  </r>
  <r>
    <n v="26663"/>
    <x v="1"/>
    <x v="0"/>
    <n v="60000"/>
    <x v="4"/>
    <x v="0"/>
    <x v="2"/>
    <x v="1"/>
    <x v="1"/>
    <x v="0"/>
    <x v="1"/>
    <n v="39"/>
    <x v="0"/>
    <x v="1"/>
  </r>
  <r>
    <n v="11896"/>
    <x v="0"/>
    <x v="1"/>
    <n v="100000"/>
    <x v="0"/>
    <x v="4"/>
    <x v="4"/>
    <x v="0"/>
    <x v="0"/>
    <x v="1"/>
    <x v="1"/>
    <n v="36"/>
    <x v="0"/>
    <x v="1"/>
  </r>
  <r>
    <n v="14189"/>
    <x v="0"/>
    <x v="0"/>
    <n v="90000"/>
    <x v="5"/>
    <x v="2"/>
    <x v="2"/>
    <x v="1"/>
    <x v="2"/>
    <x v="1"/>
    <x v="0"/>
    <n v="54"/>
    <x v="0"/>
    <x v="1"/>
  </r>
  <r>
    <n v="13136"/>
    <x v="0"/>
    <x v="0"/>
    <n v="30000"/>
    <x v="4"/>
    <x v="1"/>
    <x v="1"/>
    <x v="1"/>
    <x v="2"/>
    <x v="2"/>
    <x v="1"/>
    <n v="69"/>
    <x v="1"/>
    <x v="0"/>
  </r>
  <r>
    <n v="25906"/>
    <x v="1"/>
    <x v="0"/>
    <n v="10000"/>
    <x v="2"/>
    <x v="2"/>
    <x v="0"/>
    <x v="1"/>
    <x v="2"/>
    <x v="3"/>
    <x v="1"/>
    <n v="62"/>
    <x v="1"/>
    <x v="0"/>
  </r>
  <r>
    <n v="17926"/>
    <x v="1"/>
    <x v="0"/>
    <n v="40000"/>
    <x v="3"/>
    <x v="0"/>
    <x v="1"/>
    <x v="1"/>
    <x v="0"/>
    <x v="0"/>
    <x v="1"/>
    <n v="28"/>
    <x v="2"/>
    <x v="1"/>
  </r>
  <r>
    <n v="26928"/>
    <x v="1"/>
    <x v="1"/>
    <n v="30000"/>
    <x v="0"/>
    <x v="0"/>
    <x v="1"/>
    <x v="0"/>
    <x v="0"/>
    <x v="0"/>
    <x v="0"/>
    <n v="62"/>
    <x v="1"/>
    <x v="1"/>
  </r>
  <r>
    <n v="20897"/>
    <x v="0"/>
    <x v="0"/>
    <n v="30000"/>
    <x v="0"/>
    <x v="0"/>
    <x v="0"/>
    <x v="0"/>
    <x v="2"/>
    <x v="0"/>
    <x v="0"/>
    <n v="40"/>
    <x v="0"/>
    <x v="0"/>
  </r>
  <r>
    <n v="28207"/>
    <x v="0"/>
    <x v="1"/>
    <n v="80000"/>
    <x v="5"/>
    <x v="4"/>
    <x v="4"/>
    <x v="0"/>
    <x v="1"/>
    <x v="0"/>
    <x v="1"/>
    <n v="36"/>
    <x v="0"/>
    <x v="1"/>
  </r>
  <r>
    <n v="25923"/>
    <x v="1"/>
    <x v="1"/>
    <n v="10000"/>
    <x v="4"/>
    <x v="3"/>
    <x v="1"/>
    <x v="0"/>
    <x v="2"/>
    <x v="2"/>
    <x v="1"/>
    <n v="58"/>
    <x v="1"/>
    <x v="0"/>
  </r>
  <r>
    <n v="11000"/>
    <x v="0"/>
    <x v="1"/>
    <n v="90000"/>
    <x v="4"/>
    <x v="0"/>
    <x v="2"/>
    <x v="0"/>
    <x v="0"/>
    <x v="3"/>
    <x v="1"/>
    <n v="40"/>
    <x v="0"/>
    <x v="1"/>
  </r>
  <r>
    <n v="20974"/>
    <x v="0"/>
    <x v="1"/>
    <n v="10000"/>
    <x v="4"/>
    <x v="0"/>
    <x v="1"/>
    <x v="0"/>
    <x v="1"/>
    <x v="0"/>
    <x v="0"/>
    <n v="66"/>
    <x v="1"/>
    <x v="0"/>
  </r>
  <r>
    <n v="28758"/>
    <x v="0"/>
    <x v="1"/>
    <n v="40000"/>
    <x v="4"/>
    <x v="1"/>
    <x v="1"/>
    <x v="0"/>
    <x v="1"/>
    <x v="3"/>
    <x v="0"/>
    <n v="35"/>
    <x v="0"/>
    <x v="1"/>
  </r>
  <r>
    <n v="11381"/>
    <x v="0"/>
    <x v="0"/>
    <n v="20000"/>
    <x v="4"/>
    <x v="1"/>
    <x v="3"/>
    <x v="0"/>
    <x v="1"/>
    <x v="1"/>
    <x v="0"/>
    <n v="47"/>
    <x v="0"/>
    <x v="1"/>
  </r>
  <r>
    <n v="17522"/>
    <x v="0"/>
    <x v="1"/>
    <n v="120000"/>
    <x v="5"/>
    <x v="0"/>
    <x v="4"/>
    <x v="0"/>
    <x v="1"/>
    <x v="1"/>
    <x v="1"/>
    <n v="47"/>
    <x v="0"/>
    <x v="0"/>
  </r>
  <r>
    <n v="21207"/>
    <x v="0"/>
    <x v="1"/>
    <n v="60000"/>
    <x v="0"/>
    <x v="1"/>
    <x v="0"/>
    <x v="0"/>
    <x v="1"/>
    <x v="2"/>
    <x v="1"/>
    <n v="46"/>
    <x v="0"/>
    <x v="0"/>
  </r>
  <r>
    <n v="28102"/>
    <x v="0"/>
    <x v="1"/>
    <n v="20000"/>
    <x v="5"/>
    <x v="2"/>
    <x v="0"/>
    <x v="0"/>
    <x v="2"/>
    <x v="2"/>
    <x v="1"/>
    <n v="58"/>
    <x v="1"/>
    <x v="1"/>
  </r>
  <r>
    <n v="23105"/>
    <x v="1"/>
    <x v="1"/>
    <n v="40000"/>
    <x v="1"/>
    <x v="3"/>
    <x v="1"/>
    <x v="1"/>
    <x v="2"/>
    <x v="2"/>
    <x v="1"/>
    <n v="52"/>
    <x v="0"/>
    <x v="1"/>
  </r>
  <r>
    <n v="18740"/>
    <x v="0"/>
    <x v="1"/>
    <n v="80000"/>
    <x v="2"/>
    <x v="0"/>
    <x v="2"/>
    <x v="1"/>
    <x v="1"/>
    <x v="0"/>
    <x v="1"/>
    <n v="47"/>
    <x v="0"/>
    <x v="1"/>
  </r>
  <r>
    <n v="21213"/>
    <x v="1"/>
    <x v="1"/>
    <n v="70000"/>
    <x v="3"/>
    <x v="0"/>
    <x v="2"/>
    <x v="1"/>
    <x v="1"/>
    <x v="2"/>
    <x v="1"/>
    <n v="41"/>
    <x v="0"/>
    <x v="0"/>
  </r>
  <r>
    <n v="17352"/>
    <x v="0"/>
    <x v="1"/>
    <n v="50000"/>
    <x v="4"/>
    <x v="4"/>
    <x v="4"/>
    <x v="0"/>
    <x v="1"/>
    <x v="2"/>
    <x v="1"/>
    <n v="64"/>
    <x v="1"/>
    <x v="1"/>
  </r>
  <r>
    <n v="14154"/>
    <x v="0"/>
    <x v="1"/>
    <n v="30000"/>
    <x v="3"/>
    <x v="0"/>
    <x v="1"/>
    <x v="0"/>
    <x v="0"/>
    <x v="0"/>
    <x v="0"/>
    <n v="35"/>
    <x v="0"/>
    <x v="1"/>
  </r>
  <r>
    <n v="19066"/>
    <x v="0"/>
    <x v="1"/>
    <n v="130000"/>
    <x v="5"/>
    <x v="1"/>
    <x v="2"/>
    <x v="1"/>
    <x v="4"/>
    <x v="4"/>
    <x v="0"/>
    <n v="54"/>
    <x v="0"/>
    <x v="0"/>
  </r>
  <r>
    <n v="11386"/>
    <x v="0"/>
    <x v="0"/>
    <n v="30000"/>
    <x v="1"/>
    <x v="0"/>
    <x v="1"/>
    <x v="0"/>
    <x v="0"/>
    <x v="0"/>
    <x v="0"/>
    <n v="45"/>
    <x v="0"/>
    <x v="0"/>
  </r>
  <r>
    <n v="20228"/>
    <x v="0"/>
    <x v="1"/>
    <n v="100000"/>
    <x v="3"/>
    <x v="4"/>
    <x v="4"/>
    <x v="0"/>
    <x v="0"/>
    <x v="1"/>
    <x v="1"/>
    <n v="40"/>
    <x v="0"/>
    <x v="1"/>
  </r>
  <r>
    <n v="16675"/>
    <x v="1"/>
    <x v="0"/>
    <n v="160000"/>
    <x v="3"/>
    <x v="4"/>
    <x v="4"/>
    <x v="1"/>
    <x v="4"/>
    <x v="0"/>
    <x v="1"/>
    <n v="47"/>
    <x v="0"/>
    <x v="1"/>
  </r>
  <r>
    <n v="16410"/>
    <x v="1"/>
    <x v="0"/>
    <n v="10000"/>
    <x v="5"/>
    <x v="3"/>
    <x v="3"/>
    <x v="0"/>
    <x v="2"/>
    <x v="0"/>
    <x v="0"/>
    <n v="41"/>
    <x v="0"/>
    <x v="1"/>
  </r>
  <r>
    <n v="27760"/>
    <x v="1"/>
    <x v="0"/>
    <n v="40000"/>
    <x v="3"/>
    <x v="4"/>
    <x v="1"/>
    <x v="1"/>
    <x v="0"/>
    <x v="0"/>
    <x v="0"/>
    <n v="37"/>
    <x v="0"/>
    <x v="1"/>
  </r>
  <r>
    <n v="22930"/>
    <x v="0"/>
    <x v="1"/>
    <n v="90000"/>
    <x v="5"/>
    <x v="0"/>
    <x v="2"/>
    <x v="0"/>
    <x v="0"/>
    <x v="3"/>
    <x v="1"/>
    <n v="38"/>
    <x v="0"/>
    <x v="1"/>
  </r>
  <r>
    <n v="23780"/>
    <x v="1"/>
    <x v="1"/>
    <n v="40000"/>
    <x v="4"/>
    <x v="1"/>
    <x v="1"/>
    <x v="1"/>
    <x v="2"/>
    <x v="0"/>
    <x v="0"/>
    <n v="36"/>
    <x v="0"/>
    <x v="1"/>
  </r>
  <r>
    <n v="20994"/>
    <x v="0"/>
    <x v="0"/>
    <n v="20000"/>
    <x v="3"/>
    <x v="0"/>
    <x v="1"/>
    <x v="1"/>
    <x v="0"/>
    <x v="0"/>
    <x v="1"/>
    <n v="26"/>
    <x v="2"/>
    <x v="1"/>
  </r>
  <r>
    <n v="28379"/>
    <x v="0"/>
    <x v="1"/>
    <n v="30000"/>
    <x v="0"/>
    <x v="0"/>
    <x v="0"/>
    <x v="0"/>
    <x v="2"/>
    <x v="0"/>
    <x v="0"/>
    <n v="40"/>
    <x v="0"/>
    <x v="0"/>
  </r>
  <r>
    <n v="14865"/>
    <x v="1"/>
    <x v="1"/>
    <n v="40000"/>
    <x v="4"/>
    <x v="1"/>
    <x v="1"/>
    <x v="0"/>
    <x v="2"/>
    <x v="3"/>
    <x v="0"/>
    <n v="36"/>
    <x v="0"/>
    <x v="0"/>
  </r>
  <r>
    <n v="12663"/>
    <x v="0"/>
    <x v="0"/>
    <n v="90000"/>
    <x v="2"/>
    <x v="3"/>
    <x v="0"/>
    <x v="0"/>
    <x v="2"/>
    <x v="4"/>
    <x v="0"/>
    <n v="59"/>
    <x v="1"/>
    <x v="0"/>
  </r>
  <r>
    <n v="24898"/>
    <x v="1"/>
    <x v="0"/>
    <n v="80000"/>
    <x v="3"/>
    <x v="0"/>
    <x v="2"/>
    <x v="0"/>
    <x v="4"/>
    <x v="4"/>
    <x v="1"/>
    <n v="32"/>
    <x v="0"/>
    <x v="0"/>
  </r>
  <r>
    <n v="19508"/>
    <x v="0"/>
    <x v="1"/>
    <n v="10000"/>
    <x v="3"/>
    <x v="3"/>
    <x v="3"/>
    <x v="1"/>
    <x v="2"/>
    <x v="0"/>
    <x v="0"/>
    <n v="30"/>
    <x v="2"/>
    <x v="0"/>
  </r>
  <r>
    <n v="11489"/>
    <x v="1"/>
    <x v="0"/>
    <n v="20000"/>
    <x v="3"/>
    <x v="3"/>
    <x v="3"/>
    <x v="1"/>
    <x v="2"/>
    <x v="3"/>
    <x v="0"/>
    <n v="35"/>
    <x v="0"/>
    <x v="1"/>
  </r>
  <r>
    <n v="18160"/>
    <x v="0"/>
    <x v="1"/>
    <n v="130000"/>
    <x v="1"/>
    <x v="2"/>
    <x v="2"/>
    <x v="0"/>
    <x v="3"/>
    <x v="2"/>
    <x v="0"/>
    <n v="51"/>
    <x v="0"/>
    <x v="1"/>
  </r>
  <r>
    <n v="25241"/>
    <x v="0"/>
    <x v="1"/>
    <n v="90000"/>
    <x v="4"/>
    <x v="0"/>
    <x v="2"/>
    <x v="0"/>
    <x v="1"/>
    <x v="2"/>
    <x v="1"/>
    <n v="47"/>
    <x v="0"/>
    <x v="0"/>
  </r>
  <r>
    <n v="24369"/>
    <x v="0"/>
    <x v="1"/>
    <n v="80000"/>
    <x v="2"/>
    <x v="4"/>
    <x v="4"/>
    <x v="1"/>
    <x v="2"/>
    <x v="0"/>
    <x v="1"/>
    <n v="39"/>
    <x v="0"/>
    <x v="0"/>
  </r>
  <r>
    <n v="27165"/>
    <x v="1"/>
    <x v="1"/>
    <n v="20000"/>
    <x v="3"/>
    <x v="3"/>
    <x v="3"/>
    <x v="1"/>
    <x v="2"/>
    <x v="0"/>
    <x v="0"/>
    <n v="34"/>
    <x v="0"/>
    <x v="0"/>
  </r>
  <r>
    <n v="29424"/>
    <x v="0"/>
    <x v="1"/>
    <n v="10000"/>
    <x v="3"/>
    <x v="3"/>
    <x v="3"/>
    <x v="0"/>
    <x v="2"/>
    <x v="0"/>
    <x v="0"/>
    <n v="32"/>
    <x v="0"/>
    <x v="0"/>
  </r>
  <r>
    <n v="15926"/>
    <x v="1"/>
    <x v="0"/>
    <n v="120000"/>
    <x v="1"/>
    <x v="2"/>
    <x v="2"/>
    <x v="0"/>
    <x v="3"/>
    <x v="2"/>
    <x v="0"/>
    <n v="50"/>
    <x v="0"/>
    <x v="1"/>
  </r>
  <r>
    <n v="14554"/>
    <x v="0"/>
    <x v="1"/>
    <n v="20000"/>
    <x v="0"/>
    <x v="0"/>
    <x v="1"/>
    <x v="0"/>
    <x v="0"/>
    <x v="0"/>
    <x v="0"/>
    <n v="66"/>
    <x v="1"/>
    <x v="0"/>
  </r>
  <r>
    <n v="16468"/>
    <x v="1"/>
    <x v="1"/>
    <n v="30000"/>
    <x v="3"/>
    <x v="1"/>
    <x v="1"/>
    <x v="0"/>
    <x v="1"/>
    <x v="1"/>
    <x v="0"/>
    <n v="30"/>
    <x v="2"/>
    <x v="0"/>
  </r>
  <r>
    <n v="19174"/>
    <x v="1"/>
    <x v="0"/>
    <n v="30000"/>
    <x v="3"/>
    <x v="2"/>
    <x v="3"/>
    <x v="1"/>
    <x v="1"/>
    <x v="1"/>
    <x v="0"/>
    <n v="32"/>
    <x v="0"/>
    <x v="1"/>
  </r>
  <r>
    <n v="19183"/>
    <x v="1"/>
    <x v="1"/>
    <n v="10000"/>
    <x v="3"/>
    <x v="3"/>
    <x v="3"/>
    <x v="0"/>
    <x v="2"/>
    <x v="3"/>
    <x v="0"/>
    <n v="35"/>
    <x v="0"/>
    <x v="0"/>
  </r>
  <r>
    <n v="13683"/>
    <x v="1"/>
    <x v="0"/>
    <n v="30000"/>
    <x v="3"/>
    <x v="2"/>
    <x v="3"/>
    <x v="1"/>
    <x v="1"/>
    <x v="1"/>
    <x v="0"/>
    <n v="32"/>
    <x v="0"/>
    <x v="0"/>
  </r>
  <r>
    <n v="17848"/>
    <x v="1"/>
    <x v="1"/>
    <n v="30000"/>
    <x v="3"/>
    <x v="1"/>
    <x v="1"/>
    <x v="1"/>
    <x v="1"/>
    <x v="1"/>
    <x v="0"/>
    <n v="31"/>
    <x v="0"/>
    <x v="1"/>
  </r>
  <r>
    <n v="17894"/>
    <x v="0"/>
    <x v="0"/>
    <n v="20000"/>
    <x v="0"/>
    <x v="0"/>
    <x v="1"/>
    <x v="0"/>
    <x v="0"/>
    <x v="0"/>
    <x v="0"/>
    <n v="50"/>
    <x v="0"/>
    <x v="1"/>
  </r>
  <r>
    <n v="25651"/>
    <x v="0"/>
    <x v="1"/>
    <n v="40000"/>
    <x v="0"/>
    <x v="0"/>
    <x v="0"/>
    <x v="1"/>
    <x v="0"/>
    <x v="0"/>
    <x v="0"/>
    <n v="43"/>
    <x v="0"/>
    <x v="1"/>
  </r>
  <r>
    <n v="22936"/>
    <x v="1"/>
    <x v="0"/>
    <n v="60000"/>
    <x v="0"/>
    <x v="1"/>
    <x v="0"/>
    <x v="1"/>
    <x v="1"/>
    <x v="0"/>
    <x v="1"/>
    <n v="45"/>
    <x v="0"/>
    <x v="1"/>
  </r>
  <r>
    <n v="23915"/>
    <x v="0"/>
    <x v="1"/>
    <n v="20000"/>
    <x v="4"/>
    <x v="2"/>
    <x v="3"/>
    <x v="0"/>
    <x v="2"/>
    <x v="0"/>
    <x v="0"/>
    <n v="42"/>
    <x v="0"/>
    <x v="0"/>
  </r>
  <r>
    <n v="24121"/>
    <x v="1"/>
    <x v="0"/>
    <n v="30000"/>
    <x v="3"/>
    <x v="1"/>
    <x v="1"/>
    <x v="1"/>
    <x v="1"/>
    <x v="0"/>
    <x v="0"/>
    <n v="29"/>
    <x v="2"/>
    <x v="1"/>
  </r>
  <r>
    <n v="27878"/>
    <x v="1"/>
    <x v="1"/>
    <n v="20000"/>
    <x v="3"/>
    <x v="1"/>
    <x v="3"/>
    <x v="1"/>
    <x v="0"/>
    <x v="0"/>
    <x v="1"/>
    <n v="28"/>
    <x v="2"/>
    <x v="1"/>
  </r>
  <r>
    <n v="13572"/>
    <x v="1"/>
    <x v="1"/>
    <n v="10000"/>
    <x v="1"/>
    <x v="2"/>
    <x v="3"/>
    <x v="0"/>
    <x v="0"/>
    <x v="0"/>
    <x v="0"/>
    <n v="37"/>
    <x v="0"/>
    <x v="1"/>
  </r>
  <r>
    <n v="27941"/>
    <x v="0"/>
    <x v="0"/>
    <n v="80000"/>
    <x v="5"/>
    <x v="1"/>
    <x v="2"/>
    <x v="0"/>
    <x v="2"/>
    <x v="1"/>
    <x v="0"/>
    <n v="53"/>
    <x v="0"/>
    <x v="0"/>
  </r>
  <r>
    <n v="26354"/>
    <x v="1"/>
    <x v="1"/>
    <n v="40000"/>
    <x v="3"/>
    <x v="4"/>
    <x v="1"/>
    <x v="1"/>
    <x v="0"/>
    <x v="0"/>
    <x v="0"/>
    <n v="38"/>
    <x v="0"/>
    <x v="1"/>
  </r>
  <r>
    <n v="14785"/>
    <x v="1"/>
    <x v="1"/>
    <n v="30000"/>
    <x v="0"/>
    <x v="0"/>
    <x v="1"/>
    <x v="1"/>
    <x v="1"/>
    <x v="3"/>
    <x v="0"/>
    <n v="39"/>
    <x v="0"/>
    <x v="0"/>
  </r>
  <r>
    <n v="17238"/>
    <x v="1"/>
    <x v="1"/>
    <n v="80000"/>
    <x v="3"/>
    <x v="0"/>
    <x v="2"/>
    <x v="0"/>
    <x v="4"/>
    <x v="4"/>
    <x v="1"/>
    <n v="32"/>
    <x v="0"/>
    <x v="0"/>
  </r>
  <r>
    <n v="23608"/>
    <x v="0"/>
    <x v="0"/>
    <n v="150000"/>
    <x v="1"/>
    <x v="2"/>
    <x v="2"/>
    <x v="0"/>
    <x v="4"/>
    <x v="0"/>
    <x v="0"/>
    <n v="51"/>
    <x v="0"/>
    <x v="1"/>
  </r>
  <r>
    <n v="22538"/>
    <x v="1"/>
    <x v="0"/>
    <n v="10000"/>
    <x v="3"/>
    <x v="3"/>
    <x v="3"/>
    <x v="0"/>
    <x v="2"/>
    <x v="3"/>
    <x v="0"/>
    <n v="33"/>
    <x v="0"/>
    <x v="0"/>
  </r>
  <r>
    <n v="12332"/>
    <x v="0"/>
    <x v="1"/>
    <n v="90000"/>
    <x v="5"/>
    <x v="2"/>
    <x v="4"/>
    <x v="0"/>
    <x v="4"/>
    <x v="2"/>
    <x v="0"/>
    <n v="58"/>
    <x v="1"/>
    <x v="1"/>
  </r>
  <r>
    <n v="17230"/>
    <x v="0"/>
    <x v="1"/>
    <n v="80000"/>
    <x v="3"/>
    <x v="0"/>
    <x v="2"/>
    <x v="0"/>
    <x v="4"/>
    <x v="4"/>
    <x v="1"/>
    <n v="30"/>
    <x v="2"/>
    <x v="0"/>
  </r>
  <r>
    <n v="13082"/>
    <x v="1"/>
    <x v="1"/>
    <n v="130000"/>
    <x v="3"/>
    <x v="4"/>
    <x v="4"/>
    <x v="0"/>
    <x v="0"/>
    <x v="1"/>
    <x v="1"/>
    <n v="48"/>
    <x v="0"/>
    <x v="1"/>
  </r>
  <r>
    <n v="22518"/>
    <x v="1"/>
    <x v="0"/>
    <n v="30000"/>
    <x v="1"/>
    <x v="1"/>
    <x v="1"/>
    <x v="1"/>
    <x v="2"/>
    <x v="0"/>
    <x v="0"/>
    <n v="27"/>
    <x v="2"/>
    <x v="1"/>
  </r>
  <r>
    <n v="13687"/>
    <x v="0"/>
    <x v="1"/>
    <n v="40000"/>
    <x v="0"/>
    <x v="0"/>
    <x v="0"/>
    <x v="0"/>
    <x v="1"/>
    <x v="0"/>
    <x v="0"/>
    <n v="33"/>
    <x v="0"/>
    <x v="1"/>
  </r>
  <r>
    <n v="23571"/>
    <x v="0"/>
    <x v="0"/>
    <n v="40000"/>
    <x v="4"/>
    <x v="0"/>
    <x v="4"/>
    <x v="0"/>
    <x v="2"/>
    <x v="0"/>
    <x v="1"/>
    <n v="66"/>
    <x v="1"/>
    <x v="1"/>
  </r>
  <r>
    <n v="19305"/>
    <x v="1"/>
    <x v="0"/>
    <n v="10000"/>
    <x v="4"/>
    <x v="2"/>
    <x v="3"/>
    <x v="0"/>
    <x v="1"/>
    <x v="0"/>
    <x v="0"/>
    <n v="38"/>
    <x v="0"/>
    <x v="1"/>
  </r>
  <r>
    <n v="22636"/>
    <x v="1"/>
    <x v="0"/>
    <n v="40000"/>
    <x v="3"/>
    <x v="0"/>
    <x v="1"/>
    <x v="1"/>
    <x v="0"/>
    <x v="0"/>
    <x v="0"/>
    <n v="38"/>
    <x v="0"/>
    <x v="1"/>
  </r>
  <r>
    <n v="17310"/>
    <x v="0"/>
    <x v="1"/>
    <n v="60000"/>
    <x v="0"/>
    <x v="1"/>
    <x v="0"/>
    <x v="0"/>
    <x v="1"/>
    <x v="0"/>
    <x v="1"/>
    <n v="45"/>
    <x v="0"/>
    <x v="1"/>
  </r>
  <r>
    <n v="12133"/>
    <x v="0"/>
    <x v="0"/>
    <n v="130000"/>
    <x v="1"/>
    <x v="1"/>
    <x v="2"/>
    <x v="0"/>
    <x v="4"/>
    <x v="2"/>
    <x v="0"/>
    <n v="50"/>
    <x v="0"/>
    <x v="1"/>
  </r>
  <r>
    <n v="25918"/>
    <x v="1"/>
    <x v="0"/>
    <n v="30000"/>
    <x v="4"/>
    <x v="1"/>
    <x v="1"/>
    <x v="1"/>
    <x v="2"/>
    <x v="2"/>
    <x v="1"/>
    <n v="60"/>
    <x v="1"/>
    <x v="1"/>
  </r>
  <r>
    <n v="25752"/>
    <x v="1"/>
    <x v="0"/>
    <n v="20000"/>
    <x v="4"/>
    <x v="1"/>
    <x v="3"/>
    <x v="1"/>
    <x v="1"/>
    <x v="0"/>
    <x v="0"/>
    <n v="53"/>
    <x v="0"/>
    <x v="1"/>
  </r>
  <r>
    <n v="17324"/>
    <x v="0"/>
    <x v="0"/>
    <n v="100000"/>
    <x v="5"/>
    <x v="0"/>
    <x v="2"/>
    <x v="0"/>
    <x v="1"/>
    <x v="4"/>
    <x v="1"/>
    <n v="46"/>
    <x v="0"/>
    <x v="0"/>
  </r>
  <r>
    <n v="22918"/>
    <x v="1"/>
    <x v="1"/>
    <n v="80000"/>
    <x v="2"/>
    <x v="4"/>
    <x v="4"/>
    <x v="0"/>
    <x v="4"/>
    <x v="0"/>
    <x v="1"/>
    <n v="50"/>
    <x v="0"/>
    <x v="0"/>
  </r>
  <r>
    <n v="12510"/>
    <x v="0"/>
    <x v="1"/>
    <n v="40000"/>
    <x v="0"/>
    <x v="0"/>
    <x v="0"/>
    <x v="0"/>
    <x v="1"/>
    <x v="0"/>
    <x v="0"/>
    <n v="43"/>
    <x v="0"/>
    <x v="1"/>
  </r>
  <r>
    <n v="25512"/>
    <x v="1"/>
    <x v="1"/>
    <n v="20000"/>
    <x v="3"/>
    <x v="2"/>
    <x v="3"/>
    <x v="1"/>
    <x v="1"/>
    <x v="1"/>
    <x v="0"/>
    <n v="30"/>
    <x v="2"/>
    <x v="0"/>
  </r>
  <r>
    <n v="16179"/>
    <x v="1"/>
    <x v="0"/>
    <n v="80000"/>
    <x v="2"/>
    <x v="0"/>
    <x v="2"/>
    <x v="0"/>
    <x v="3"/>
    <x v="3"/>
    <x v="1"/>
    <n v="38"/>
    <x v="0"/>
    <x v="0"/>
  </r>
  <r>
    <n v="15628"/>
    <x v="0"/>
    <x v="0"/>
    <n v="40000"/>
    <x v="0"/>
    <x v="0"/>
    <x v="0"/>
    <x v="0"/>
    <x v="1"/>
    <x v="0"/>
    <x v="0"/>
    <n v="89"/>
    <x v="1"/>
    <x v="0"/>
  </r>
  <r>
    <n v="20977"/>
    <x v="0"/>
    <x v="1"/>
    <n v="20000"/>
    <x v="0"/>
    <x v="0"/>
    <x v="1"/>
    <x v="0"/>
    <x v="0"/>
    <x v="0"/>
    <x v="0"/>
    <n v="64"/>
    <x v="1"/>
    <x v="1"/>
  </r>
  <r>
    <n v="18140"/>
    <x v="0"/>
    <x v="1"/>
    <n v="130000"/>
    <x v="1"/>
    <x v="1"/>
    <x v="2"/>
    <x v="1"/>
    <x v="4"/>
    <x v="2"/>
    <x v="0"/>
    <n v="51"/>
    <x v="0"/>
    <x v="1"/>
  </r>
  <r>
    <n v="20417"/>
    <x v="0"/>
    <x v="1"/>
    <n v="30000"/>
    <x v="1"/>
    <x v="1"/>
    <x v="1"/>
    <x v="1"/>
    <x v="2"/>
    <x v="2"/>
    <x v="1"/>
    <n v="56"/>
    <x v="1"/>
    <x v="0"/>
  </r>
  <r>
    <n v="18267"/>
    <x v="0"/>
    <x v="1"/>
    <n v="60000"/>
    <x v="1"/>
    <x v="0"/>
    <x v="2"/>
    <x v="0"/>
    <x v="2"/>
    <x v="2"/>
    <x v="1"/>
    <n v="43"/>
    <x v="0"/>
    <x v="0"/>
  </r>
  <r>
    <n v="13620"/>
    <x v="1"/>
    <x v="1"/>
    <n v="70000"/>
    <x v="3"/>
    <x v="0"/>
    <x v="2"/>
    <x v="1"/>
    <x v="4"/>
    <x v="4"/>
    <x v="1"/>
    <n v="30"/>
    <x v="2"/>
    <x v="1"/>
  </r>
  <r>
    <n v="22974"/>
    <x v="0"/>
    <x v="0"/>
    <n v="30000"/>
    <x v="4"/>
    <x v="1"/>
    <x v="1"/>
    <x v="0"/>
    <x v="2"/>
    <x v="2"/>
    <x v="1"/>
    <n v="69"/>
    <x v="1"/>
    <x v="0"/>
  </r>
  <r>
    <n v="13586"/>
    <x v="0"/>
    <x v="1"/>
    <n v="80000"/>
    <x v="5"/>
    <x v="1"/>
    <x v="2"/>
    <x v="0"/>
    <x v="2"/>
    <x v="4"/>
    <x v="0"/>
    <n v="53"/>
    <x v="0"/>
    <x v="0"/>
  </r>
  <r>
    <n v="17978"/>
    <x v="0"/>
    <x v="1"/>
    <n v="40000"/>
    <x v="3"/>
    <x v="4"/>
    <x v="1"/>
    <x v="0"/>
    <x v="0"/>
    <x v="0"/>
    <x v="0"/>
    <n v="37"/>
    <x v="0"/>
    <x v="1"/>
  </r>
  <r>
    <n v="12581"/>
    <x v="1"/>
    <x v="0"/>
    <n v="10000"/>
    <x v="3"/>
    <x v="1"/>
    <x v="3"/>
    <x v="1"/>
    <x v="1"/>
    <x v="0"/>
    <x v="1"/>
    <n v="28"/>
    <x v="2"/>
    <x v="1"/>
  </r>
  <r>
    <n v="18018"/>
    <x v="1"/>
    <x v="1"/>
    <n v="30000"/>
    <x v="1"/>
    <x v="1"/>
    <x v="1"/>
    <x v="0"/>
    <x v="0"/>
    <x v="0"/>
    <x v="0"/>
    <n v="43"/>
    <x v="0"/>
    <x v="0"/>
  </r>
  <r>
    <n v="28957"/>
    <x v="1"/>
    <x v="0"/>
    <n v="120000"/>
    <x v="3"/>
    <x v="3"/>
    <x v="2"/>
    <x v="0"/>
    <x v="3"/>
    <x v="4"/>
    <x v="1"/>
    <n v="34"/>
    <x v="0"/>
    <x v="1"/>
  </r>
  <r>
    <n v="13690"/>
    <x v="1"/>
    <x v="0"/>
    <n v="20000"/>
    <x v="3"/>
    <x v="3"/>
    <x v="3"/>
    <x v="1"/>
    <x v="2"/>
    <x v="3"/>
    <x v="0"/>
    <n v="34"/>
    <x v="0"/>
    <x v="1"/>
  </r>
  <r>
    <n v="12568"/>
    <x v="0"/>
    <x v="0"/>
    <n v="30000"/>
    <x v="0"/>
    <x v="0"/>
    <x v="1"/>
    <x v="0"/>
    <x v="0"/>
    <x v="0"/>
    <x v="0"/>
    <n v="64"/>
    <x v="1"/>
    <x v="0"/>
  </r>
  <r>
    <n v="13122"/>
    <x v="0"/>
    <x v="0"/>
    <n v="80000"/>
    <x v="3"/>
    <x v="0"/>
    <x v="2"/>
    <x v="0"/>
    <x v="1"/>
    <x v="3"/>
    <x v="1"/>
    <n v="41"/>
    <x v="0"/>
    <x v="1"/>
  </r>
  <r>
    <n v="21184"/>
    <x v="1"/>
    <x v="1"/>
    <n v="70000"/>
    <x v="3"/>
    <x v="0"/>
    <x v="2"/>
    <x v="1"/>
    <x v="1"/>
    <x v="2"/>
    <x v="1"/>
    <n v="38"/>
    <x v="0"/>
    <x v="0"/>
  </r>
  <r>
    <n v="26150"/>
    <x v="1"/>
    <x v="0"/>
    <n v="70000"/>
    <x v="3"/>
    <x v="0"/>
    <x v="2"/>
    <x v="1"/>
    <x v="1"/>
    <x v="0"/>
    <x v="1"/>
    <n v="41"/>
    <x v="0"/>
    <x v="1"/>
  </r>
  <r>
    <n v="24151"/>
    <x v="1"/>
    <x v="1"/>
    <n v="20000"/>
    <x v="0"/>
    <x v="0"/>
    <x v="1"/>
    <x v="1"/>
    <x v="0"/>
    <x v="0"/>
    <x v="0"/>
    <n v="51"/>
    <x v="0"/>
    <x v="0"/>
  </r>
  <r>
    <n v="23962"/>
    <x v="0"/>
    <x v="0"/>
    <n v="10000"/>
    <x v="3"/>
    <x v="3"/>
    <x v="3"/>
    <x v="0"/>
    <x v="2"/>
    <x v="3"/>
    <x v="0"/>
    <n v="32"/>
    <x v="0"/>
    <x v="0"/>
  </r>
  <r>
    <n v="17793"/>
    <x v="0"/>
    <x v="0"/>
    <n v="40000"/>
    <x v="3"/>
    <x v="0"/>
    <x v="1"/>
    <x v="0"/>
    <x v="0"/>
    <x v="0"/>
    <x v="0"/>
    <n v="38"/>
    <x v="0"/>
    <x v="1"/>
  </r>
  <r>
    <n v="14926"/>
    <x v="0"/>
    <x v="1"/>
    <n v="30000"/>
    <x v="0"/>
    <x v="0"/>
    <x v="1"/>
    <x v="0"/>
    <x v="0"/>
    <x v="0"/>
    <x v="0"/>
    <n v="38"/>
    <x v="0"/>
    <x v="1"/>
  </r>
  <r>
    <n v="16163"/>
    <x v="1"/>
    <x v="1"/>
    <n v="60000"/>
    <x v="4"/>
    <x v="0"/>
    <x v="2"/>
    <x v="0"/>
    <x v="1"/>
    <x v="1"/>
    <x v="1"/>
    <n v="38"/>
    <x v="0"/>
    <x v="1"/>
  </r>
  <r>
    <n v="21365"/>
    <x v="0"/>
    <x v="0"/>
    <n v="10000"/>
    <x v="4"/>
    <x v="3"/>
    <x v="1"/>
    <x v="0"/>
    <x v="2"/>
    <x v="2"/>
    <x v="1"/>
    <n v="58"/>
    <x v="1"/>
    <x v="0"/>
  </r>
  <r>
    <n v="27771"/>
    <x v="1"/>
    <x v="1"/>
    <n v="30000"/>
    <x v="0"/>
    <x v="0"/>
    <x v="1"/>
    <x v="0"/>
    <x v="1"/>
    <x v="3"/>
    <x v="0"/>
    <n v="39"/>
    <x v="0"/>
    <x v="1"/>
  </r>
  <r>
    <n v="26167"/>
    <x v="1"/>
    <x v="0"/>
    <n v="40000"/>
    <x v="4"/>
    <x v="0"/>
    <x v="4"/>
    <x v="1"/>
    <x v="1"/>
    <x v="2"/>
    <x v="1"/>
    <n v="53"/>
    <x v="0"/>
    <x v="1"/>
  </r>
  <r>
    <n v="25792"/>
    <x v="1"/>
    <x v="0"/>
    <n v="110000"/>
    <x v="1"/>
    <x v="0"/>
    <x v="4"/>
    <x v="0"/>
    <x v="3"/>
    <x v="4"/>
    <x v="0"/>
    <n v="53"/>
    <x v="0"/>
    <x v="0"/>
  </r>
  <r>
    <n v="11555"/>
    <x v="0"/>
    <x v="0"/>
    <n v="40000"/>
    <x v="0"/>
    <x v="0"/>
    <x v="1"/>
    <x v="0"/>
    <x v="0"/>
    <x v="0"/>
    <x v="0"/>
    <n v="80"/>
    <x v="1"/>
    <x v="0"/>
  </r>
  <r>
    <n v="22381"/>
    <x v="0"/>
    <x v="1"/>
    <n v="10000"/>
    <x v="0"/>
    <x v="4"/>
    <x v="3"/>
    <x v="0"/>
    <x v="0"/>
    <x v="0"/>
    <x v="0"/>
    <n v="44"/>
    <x v="0"/>
    <x v="0"/>
  </r>
  <r>
    <n v="17882"/>
    <x v="0"/>
    <x v="1"/>
    <n v="20000"/>
    <x v="0"/>
    <x v="4"/>
    <x v="1"/>
    <x v="0"/>
    <x v="0"/>
    <x v="0"/>
    <x v="0"/>
    <n v="44"/>
    <x v="0"/>
    <x v="0"/>
  </r>
  <r>
    <n v="22174"/>
    <x v="0"/>
    <x v="1"/>
    <n v="30000"/>
    <x v="1"/>
    <x v="2"/>
    <x v="0"/>
    <x v="0"/>
    <x v="2"/>
    <x v="2"/>
    <x v="1"/>
    <n v="54"/>
    <x v="0"/>
    <x v="1"/>
  </r>
  <r>
    <n v="22439"/>
    <x v="0"/>
    <x v="0"/>
    <n v="30000"/>
    <x v="3"/>
    <x v="0"/>
    <x v="1"/>
    <x v="0"/>
    <x v="0"/>
    <x v="0"/>
    <x v="0"/>
    <n v="37"/>
    <x v="0"/>
    <x v="1"/>
  </r>
  <r>
    <n v="18012"/>
    <x v="0"/>
    <x v="0"/>
    <n v="40000"/>
    <x v="0"/>
    <x v="0"/>
    <x v="0"/>
    <x v="0"/>
    <x v="0"/>
    <x v="0"/>
    <x v="0"/>
    <n v="41"/>
    <x v="0"/>
    <x v="0"/>
  </r>
  <r>
    <n v="27582"/>
    <x v="1"/>
    <x v="0"/>
    <n v="90000"/>
    <x v="4"/>
    <x v="0"/>
    <x v="2"/>
    <x v="1"/>
    <x v="0"/>
    <x v="0"/>
    <x v="1"/>
    <n v="36"/>
    <x v="0"/>
    <x v="1"/>
  </r>
  <r>
    <n v="12744"/>
    <x v="1"/>
    <x v="0"/>
    <n v="40000"/>
    <x v="4"/>
    <x v="1"/>
    <x v="1"/>
    <x v="0"/>
    <x v="0"/>
    <x v="0"/>
    <x v="0"/>
    <n v="33"/>
    <x v="0"/>
    <x v="0"/>
  </r>
  <r>
    <n v="22821"/>
    <x v="0"/>
    <x v="0"/>
    <n v="130000"/>
    <x v="1"/>
    <x v="1"/>
    <x v="2"/>
    <x v="0"/>
    <x v="3"/>
    <x v="0"/>
    <x v="0"/>
    <n v="52"/>
    <x v="0"/>
    <x v="0"/>
  </r>
  <r>
    <n v="20171"/>
    <x v="0"/>
    <x v="0"/>
    <n v="20000"/>
    <x v="4"/>
    <x v="1"/>
    <x v="3"/>
    <x v="0"/>
    <x v="1"/>
    <x v="0"/>
    <x v="0"/>
    <n v="46"/>
    <x v="0"/>
    <x v="1"/>
  </r>
  <r>
    <n v="11116"/>
    <x v="0"/>
    <x v="1"/>
    <n v="70000"/>
    <x v="2"/>
    <x v="1"/>
    <x v="0"/>
    <x v="0"/>
    <x v="2"/>
    <x v="2"/>
    <x v="1"/>
    <n v="43"/>
    <x v="0"/>
    <x v="0"/>
  </r>
  <r>
    <n v="20053"/>
    <x v="1"/>
    <x v="1"/>
    <n v="40000"/>
    <x v="4"/>
    <x v="1"/>
    <x v="1"/>
    <x v="0"/>
    <x v="0"/>
    <x v="0"/>
    <x v="0"/>
    <n v="34"/>
    <x v="0"/>
    <x v="0"/>
  </r>
  <r>
    <n v="25266"/>
    <x v="1"/>
    <x v="0"/>
    <n v="30000"/>
    <x v="4"/>
    <x v="1"/>
    <x v="1"/>
    <x v="1"/>
    <x v="2"/>
    <x v="2"/>
    <x v="1"/>
    <n v="67"/>
    <x v="1"/>
    <x v="0"/>
  </r>
  <r>
    <n v="17960"/>
    <x v="0"/>
    <x v="0"/>
    <n v="40000"/>
    <x v="3"/>
    <x v="4"/>
    <x v="1"/>
    <x v="0"/>
    <x v="0"/>
    <x v="0"/>
    <x v="0"/>
    <n v="35"/>
    <x v="0"/>
    <x v="1"/>
  </r>
  <r>
    <n v="13961"/>
    <x v="0"/>
    <x v="0"/>
    <n v="80000"/>
    <x v="2"/>
    <x v="4"/>
    <x v="4"/>
    <x v="0"/>
    <x v="4"/>
    <x v="0"/>
    <x v="1"/>
    <n v="40"/>
    <x v="0"/>
    <x v="0"/>
  </r>
  <r>
    <n v="11897"/>
    <x v="1"/>
    <x v="1"/>
    <n v="60000"/>
    <x v="4"/>
    <x v="0"/>
    <x v="2"/>
    <x v="1"/>
    <x v="1"/>
    <x v="0"/>
    <x v="1"/>
    <n v="37"/>
    <x v="0"/>
    <x v="1"/>
  </r>
  <r>
    <n v="11139"/>
    <x v="1"/>
    <x v="0"/>
    <n v="30000"/>
    <x v="4"/>
    <x v="1"/>
    <x v="1"/>
    <x v="1"/>
    <x v="2"/>
    <x v="2"/>
    <x v="1"/>
    <n v="67"/>
    <x v="1"/>
    <x v="0"/>
  </r>
  <r>
    <n v="11576"/>
    <x v="0"/>
    <x v="1"/>
    <n v="30000"/>
    <x v="0"/>
    <x v="0"/>
    <x v="0"/>
    <x v="0"/>
    <x v="2"/>
    <x v="0"/>
    <x v="0"/>
    <n v="41"/>
    <x v="0"/>
    <x v="1"/>
  </r>
  <r>
    <n v="19255"/>
    <x v="1"/>
    <x v="1"/>
    <n v="10000"/>
    <x v="4"/>
    <x v="1"/>
    <x v="3"/>
    <x v="0"/>
    <x v="1"/>
    <x v="0"/>
    <x v="0"/>
    <n v="51"/>
    <x v="0"/>
    <x v="1"/>
  </r>
  <r>
    <n v="18153"/>
    <x v="0"/>
    <x v="0"/>
    <n v="100000"/>
    <x v="4"/>
    <x v="0"/>
    <x v="4"/>
    <x v="0"/>
    <x v="3"/>
    <x v="4"/>
    <x v="0"/>
    <n v="59"/>
    <x v="1"/>
    <x v="0"/>
  </r>
  <r>
    <n v="14547"/>
    <x v="0"/>
    <x v="1"/>
    <n v="10000"/>
    <x v="4"/>
    <x v="1"/>
    <x v="3"/>
    <x v="0"/>
    <x v="0"/>
    <x v="3"/>
    <x v="0"/>
    <n v="51"/>
    <x v="0"/>
    <x v="0"/>
  </r>
  <r>
    <n v="24901"/>
    <x v="1"/>
    <x v="1"/>
    <n v="110000"/>
    <x v="3"/>
    <x v="1"/>
    <x v="4"/>
    <x v="1"/>
    <x v="4"/>
    <x v="4"/>
    <x v="1"/>
    <n v="32"/>
    <x v="0"/>
    <x v="1"/>
  </r>
  <r>
    <n v="27169"/>
    <x v="1"/>
    <x v="1"/>
    <n v="30000"/>
    <x v="3"/>
    <x v="2"/>
    <x v="3"/>
    <x v="0"/>
    <x v="1"/>
    <x v="1"/>
    <x v="0"/>
    <n v="34"/>
    <x v="0"/>
    <x v="1"/>
  </r>
  <r>
    <n v="14805"/>
    <x v="1"/>
    <x v="0"/>
    <n v="10000"/>
    <x v="1"/>
    <x v="3"/>
    <x v="3"/>
    <x v="0"/>
    <x v="2"/>
    <x v="0"/>
    <x v="0"/>
    <n v="43"/>
    <x v="0"/>
    <x v="0"/>
  </r>
  <r>
    <n v="15822"/>
    <x v="0"/>
    <x v="1"/>
    <n v="40000"/>
    <x v="4"/>
    <x v="0"/>
    <x v="4"/>
    <x v="0"/>
    <x v="2"/>
    <x v="0"/>
    <x v="1"/>
    <n v="67"/>
    <x v="1"/>
    <x v="0"/>
  </r>
  <r>
    <n v="19389"/>
    <x v="1"/>
    <x v="1"/>
    <n v="30000"/>
    <x v="3"/>
    <x v="1"/>
    <x v="1"/>
    <x v="1"/>
    <x v="1"/>
    <x v="1"/>
    <x v="0"/>
    <n v="28"/>
    <x v="2"/>
    <x v="0"/>
  </r>
  <r>
    <n v="17048"/>
    <x v="1"/>
    <x v="0"/>
    <n v="90000"/>
    <x v="0"/>
    <x v="4"/>
    <x v="4"/>
    <x v="0"/>
    <x v="0"/>
    <x v="0"/>
    <x v="1"/>
    <n v="36"/>
    <x v="0"/>
    <x v="1"/>
  </r>
  <r>
    <n v="22204"/>
    <x v="0"/>
    <x v="1"/>
    <n v="110000"/>
    <x v="5"/>
    <x v="0"/>
    <x v="4"/>
    <x v="0"/>
    <x v="4"/>
    <x v="1"/>
    <x v="1"/>
    <n v="48"/>
    <x v="0"/>
    <x v="0"/>
  </r>
  <r>
    <n v="12718"/>
    <x v="1"/>
    <x v="0"/>
    <n v="30000"/>
    <x v="3"/>
    <x v="1"/>
    <x v="1"/>
    <x v="0"/>
    <x v="1"/>
    <x v="1"/>
    <x v="0"/>
    <n v="31"/>
    <x v="0"/>
    <x v="0"/>
  </r>
  <r>
    <n v="15019"/>
    <x v="1"/>
    <x v="0"/>
    <n v="30000"/>
    <x v="1"/>
    <x v="2"/>
    <x v="0"/>
    <x v="0"/>
    <x v="2"/>
    <x v="2"/>
    <x v="1"/>
    <n v="55"/>
    <x v="0"/>
    <x v="0"/>
  </r>
  <r>
    <n v="28488"/>
    <x v="1"/>
    <x v="1"/>
    <n v="20000"/>
    <x v="3"/>
    <x v="1"/>
    <x v="3"/>
    <x v="0"/>
    <x v="0"/>
    <x v="0"/>
    <x v="1"/>
    <n v="28"/>
    <x v="2"/>
    <x v="1"/>
  </r>
  <r>
    <n v="21891"/>
    <x v="0"/>
    <x v="0"/>
    <n v="110000"/>
    <x v="3"/>
    <x v="2"/>
    <x v="4"/>
    <x v="0"/>
    <x v="4"/>
    <x v="4"/>
    <x v="1"/>
    <n v="34"/>
    <x v="0"/>
    <x v="1"/>
  </r>
  <r>
    <n v="27814"/>
    <x v="1"/>
    <x v="0"/>
    <n v="30000"/>
    <x v="1"/>
    <x v="1"/>
    <x v="1"/>
    <x v="1"/>
    <x v="1"/>
    <x v="0"/>
    <x v="0"/>
    <n v="26"/>
    <x v="2"/>
    <x v="0"/>
  </r>
  <r>
    <n v="22175"/>
    <x v="0"/>
    <x v="0"/>
    <n v="30000"/>
    <x v="1"/>
    <x v="2"/>
    <x v="0"/>
    <x v="0"/>
    <x v="2"/>
    <x v="2"/>
    <x v="1"/>
    <n v="53"/>
    <x v="0"/>
    <x v="1"/>
  </r>
  <r>
    <n v="29447"/>
    <x v="1"/>
    <x v="0"/>
    <n v="10000"/>
    <x v="4"/>
    <x v="0"/>
    <x v="1"/>
    <x v="1"/>
    <x v="1"/>
    <x v="1"/>
    <x v="0"/>
    <n v="68"/>
    <x v="1"/>
    <x v="0"/>
  </r>
  <r>
    <n v="19784"/>
    <x v="0"/>
    <x v="0"/>
    <n v="80000"/>
    <x v="4"/>
    <x v="2"/>
    <x v="0"/>
    <x v="0"/>
    <x v="2"/>
    <x v="2"/>
    <x v="1"/>
    <n v="50"/>
    <x v="0"/>
    <x v="1"/>
  </r>
  <r>
    <n v="27824"/>
    <x v="1"/>
    <x v="0"/>
    <n v="30000"/>
    <x v="1"/>
    <x v="1"/>
    <x v="1"/>
    <x v="0"/>
    <x v="2"/>
    <x v="0"/>
    <x v="0"/>
    <n v="28"/>
    <x v="2"/>
    <x v="1"/>
  </r>
  <r>
    <n v="24093"/>
    <x v="1"/>
    <x v="0"/>
    <n v="80000"/>
    <x v="3"/>
    <x v="4"/>
    <x v="0"/>
    <x v="1"/>
    <x v="0"/>
    <x v="0"/>
    <x v="0"/>
    <n v="40"/>
    <x v="0"/>
    <x v="1"/>
  </r>
  <r>
    <n v="19618"/>
    <x v="0"/>
    <x v="1"/>
    <n v="70000"/>
    <x v="2"/>
    <x v="1"/>
    <x v="0"/>
    <x v="0"/>
    <x v="2"/>
    <x v="0"/>
    <x v="1"/>
    <n v="44"/>
    <x v="0"/>
    <x v="0"/>
  </r>
  <r>
    <n v="21561"/>
    <x v="1"/>
    <x v="1"/>
    <n v="90000"/>
    <x v="3"/>
    <x v="0"/>
    <x v="2"/>
    <x v="1"/>
    <x v="4"/>
    <x v="4"/>
    <x v="1"/>
    <n v="34"/>
    <x v="0"/>
    <x v="1"/>
  </r>
  <r>
    <n v="11061"/>
    <x v="0"/>
    <x v="1"/>
    <n v="70000"/>
    <x v="4"/>
    <x v="1"/>
    <x v="0"/>
    <x v="0"/>
    <x v="2"/>
    <x v="2"/>
    <x v="1"/>
    <n v="52"/>
    <x v="0"/>
    <x v="1"/>
  </r>
  <r>
    <n v="26651"/>
    <x v="1"/>
    <x v="1"/>
    <n v="80000"/>
    <x v="5"/>
    <x v="4"/>
    <x v="4"/>
    <x v="0"/>
    <x v="0"/>
    <x v="0"/>
    <x v="1"/>
    <n v="36"/>
    <x v="0"/>
    <x v="1"/>
  </r>
  <r>
    <n v="21108"/>
    <x v="0"/>
    <x v="0"/>
    <n v="40000"/>
    <x v="0"/>
    <x v="0"/>
    <x v="0"/>
    <x v="0"/>
    <x v="1"/>
    <x v="0"/>
    <x v="0"/>
    <n v="43"/>
    <x v="0"/>
    <x v="1"/>
  </r>
  <r>
    <n v="12731"/>
    <x v="1"/>
    <x v="1"/>
    <n v="30000"/>
    <x v="3"/>
    <x v="2"/>
    <x v="3"/>
    <x v="1"/>
    <x v="1"/>
    <x v="3"/>
    <x v="0"/>
    <n v="32"/>
    <x v="0"/>
    <x v="0"/>
  </r>
  <r>
    <n v="25307"/>
    <x v="0"/>
    <x v="0"/>
    <n v="40000"/>
    <x v="0"/>
    <x v="0"/>
    <x v="0"/>
    <x v="0"/>
    <x v="1"/>
    <x v="3"/>
    <x v="0"/>
    <n v="32"/>
    <x v="0"/>
    <x v="1"/>
  </r>
  <r>
    <n v="14278"/>
    <x v="0"/>
    <x v="0"/>
    <n v="130000"/>
    <x v="3"/>
    <x v="4"/>
    <x v="4"/>
    <x v="0"/>
    <x v="1"/>
    <x v="4"/>
    <x v="1"/>
    <n v="48"/>
    <x v="0"/>
    <x v="0"/>
  </r>
  <r>
    <n v="20711"/>
    <x v="0"/>
    <x v="0"/>
    <n v="40000"/>
    <x v="0"/>
    <x v="0"/>
    <x v="0"/>
    <x v="0"/>
    <x v="0"/>
    <x v="3"/>
    <x v="0"/>
    <n v="32"/>
    <x v="0"/>
    <x v="1"/>
  </r>
  <r>
    <n v="11383"/>
    <x v="0"/>
    <x v="0"/>
    <n v="30000"/>
    <x v="1"/>
    <x v="4"/>
    <x v="1"/>
    <x v="0"/>
    <x v="0"/>
    <x v="0"/>
    <x v="0"/>
    <n v="46"/>
    <x v="0"/>
    <x v="0"/>
  </r>
  <r>
    <n v="12497"/>
    <x v="0"/>
    <x v="0"/>
    <n v="40000"/>
    <x v="0"/>
    <x v="0"/>
    <x v="0"/>
    <x v="0"/>
    <x v="0"/>
    <x v="0"/>
    <x v="0"/>
    <n v="42"/>
    <x v="0"/>
    <x v="0"/>
  </r>
  <r>
    <n v="16559"/>
    <x v="1"/>
    <x v="0"/>
    <n v="10000"/>
    <x v="4"/>
    <x v="2"/>
    <x v="3"/>
    <x v="0"/>
    <x v="0"/>
    <x v="0"/>
    <x v="0"/>
    <n v="36"/>
    <x v="0"/>
    <x v="1"/>
  </r>
  <r>
    <n v="11585"/>
    <x v="0"/>
    <x v="0"/>
    <n v="40000"/>
    <x v="0"/>
    <x v="0"/>
    <x v="0"/>
    <x v="0"/>
    <x v="0"/>
    <x v="0"/>
    <x v="0"/>
    <n v="41"/>
    <x v="0"/>
    <x v="0"/>
  </r>
  <r>
    <n v="20277"/>
    <x v="0"/>
    <x v="0"/>
    <n v="30000"/>
    <x v="4"/>
    <x v="1"/>
    <x v="1"/>
    <x v="1"/>
    <x v="2"/>
    <x v="0"/>
    <x v="1"/>
    <n v="69"/>
    <x v="1"/>
    <x v="0"/>
  </r>
  <r>
    <n v="26765"/>
    <x v="1"/>
    <x v="0"/>
    <n v="70000"/>
    <x v="2"/>
    <x v="1"/>
    <x v="0"/>
    <x v="0"/>
    <x v="2"/>
    <x v="2"/>
    <x v="1"/>
    <n v="45"/>
    <x v="0"/>
    <x v="0"/>
  </r>
  <r>
    <n v="12389"/>
    <x v="1"/>
    <x v="1"/>
    <n v="30000"/>
    <x v="3"/>
    <x v="2"/>
    <x v="3"/>
    <x v="1"/>
    <x v="1"/>
    <x v="1"/>
    <x v="0"/>
    <n v="34"/>
    <x v="0"/>
    <x v="0"/>
  </r>
  <r>
    <n v="13585"/>
    <x v="0"/>
    <x v="0"/>
    <n v="80000"/>
    <x v="5"/>
    <x v="1"/>
    <x v="2"/>
    <x v="1"/>
    <x v="1"/>
    <x v="1"/>
    <x v="0"/>
    <n v="53"/>
    <x v="0"/>
    <x v="1"/>
  </r>
  <r>
    <n v="26385"/>
    <x v="1"/>
    <x v="1"/>
    <n v="120000"/>
    <x v="1"/>
    <x v="2"/>
    <x v="2"/>
    <x v="1"/>
    <x v="3"/>
    <x v="2"/>
    <x v="0"/>
    <n v="50"/>
    <x v="0"/>
    <x v="0"/>
  </r>
  <r>
    <n v="12236"/>
    <x v="0"/>
    <x v="0"/>
    <n v="20000"/>
    <x v="0"/>
    <x v="1"/>
    <x v="3"/>
    <x v="0"/>
    <x v="0"/>
    <x v="0"/>
    <x v="0"/>
    <n v="65"/>
    <x v="1"/>
    <x v="0"/>
  </r>
  <r>
    <n v="21560"/>
    <x v="0"/>
    <x v="1"/>
    <n v="120000"/>
    <x v="3"/>
    <x v="3"/>
    <x v="2"/>
    <x v="0"/>
    <x v="3"/>
    <x v="4"/>
    <x v="1"/>
    <n v="32"/>
    <x v="0"/>
    <x v="1"/>
  </r>
  <r>
    <n v="21554"/>
    <x v="1"/>
    <x v="0"/>
    <n v="80000"/>
    <x v="3"/>
    <x v="0"/>
    <x v="2"/>
    <x v="1"/>
    <x v="4"/>
    <x v="4"/>
    <x v="1"/>
    <n v="33"/>
    <x v="0"/>
    <x v="0"/>
  </r>
  <r>
    <n v="13662"/>
    <x v="1"/>
    <x v="1"/>
    <n v="20000"/>
    <x v="3"/>
    <x v="3"/>
    <x v="3"/>
    <x v="0"/>
    <x v="2"/>
    <x v="3"/>
    <x v="0"/>
    <n v="31"/>
    <x v="0"/>
    <x v="1"/>
  </r>
  <r>
    <n v="13089"/>
    <x v="0"/>
    <x v="0"/>
    <n v="120000"/>
    <x v="0"/>
    <x v="0"/>
    <x v="4"/>
    <x v="0"/>
    <x v="2"/>
    <x v="0"/>
    <x v="1"/>
    <n v="46"/>
    <x v="0"/>
    <x v="1"/>
  </r>
  <r>
    <n v="14791"/>
    <x v="0"/>
    <x v="0"/>
    <n v="40000"/>
    <x v="3"/>
    <x v="0"/>
    <x v="1"/>
    <x v="0"/>
    <x v="0"/>
    <x v="0"/>
    <x v="0"/>
    <n v="39"/>
    <x v="0"/>
    <x v="1"/>
  </r>
  <r>
    <n v="19331"/>
    <x v="1"/>
    <x v="1"/>
    <n v="20000"/>
    <x v="4"/>
    <x v="2"/>
    <x v="3"/>
    <x v="0"/>
    <x v="1"/>
    <x v="0"/>
    <x v="0"/>
    <n v="40"/>
    <x v="0"/>
    <x v="0"/>
  </r>
  <r>
    <n v="17754"/>
    <x v="1"/>
    <x v="0"/>
    <n v="30000"/>
    <x v="1"/>
    <x v="0"/>
    <x v="1"/>
    <x v="0"/>
    <x v="0"/>
    <x v="0"/>
    <x v="0"/>
    <n v="46"/>
    <x v="0"/>
    <x v="1"/>
  </r>
  <r>
    <n v="11149"/>
    <x v="0"/>
    <x v="1"/>
    <n v="40000"/>
    <x v="4"/>
    <x v="0"/>
    <x v="4"/>
    <x v="0"/>
    <x v="2"/>
    <x v="0"/>
    <x v="1"/>
    <n v="65"/>
    <x v="1"/>
    <x v="0"/>
  </r>
  <r>
    <n v="16549"/>
    <x v="1"/>
    <x v="0"/>
    <n v="30000"/>
    <x v="1"/>
    <x v="0"/>
    <x v="1"/>
    <x v="0"/>
    <x v="0"/>
    <x v="0"/>
    <x v="0"/>
    <n v="47"/>
    <x v="0"/>
    <x v="1"/>
  </r>
  <r>
    <n v="24305"/>
    <x v="1"/>
    <x v="1"/>
    <n v="100000"/>
    <x v="0"/>
    <x v="0"/>
    <x v="4"/>
    <x v="1"/>
    <x v="4"/>
    <x v="0"/>
    <x v="1"/>
    <n v="46"/>
    <x v="0"/>
    <x v="1"/>
  </r>
  <r>
    <n v="18253"/>
    <x v="0"/>
    <x v="0"/>
    <n v="80000"/>
    <x v="2"/>
    <x v="4"/>
    <x v="4"/>
    <x v="0"/>
    <x v="4"/>
    <x v="0"/>
    <x v="1"/>
    <n v="40"/>
    <x v="0"/>
    <x v="0"/>
  </r>
  <r>
    <n v="20147"/>
    <x v="0"/>
    <x v="0"/>
    <n v="30000"/>
    <x v="0"/>
    <x v="0"/>
    <x v="1"/>
    <x v="0"/>
    <x v="0"/>
    <x v="0"/>
    <x v="0"/>
    <n v="65"/>
    <x v="1"/>
    <x v="0"/>
  </r>
  <r>
    <n v="15612"/>
    <x v="1"/>
    <x v="1"/>
    <n v="30000"/>
    <x v="3"/>
    <x v="2"/>
    <x v="3"/>
    <x v="1"/>
    <x v="1"/>
    <x v="3"/>
    <x v="0"/>
    <n v="28"/>
    <x v="2"/>
    <x v="0"/>
  </r>
  <r>
    <n v="28323"/>
    <x v="1"/>
    <x v="1"/>
    <n v="70000"/>
    <x v="3"/>
    <x v="0"/>
    <x v="2"/>
    <x v="1"/>
    <x v="2"/>
    <x v="2"/>
    <x v="1"/>
    <n v="43"/>
    <x v="0"/>
    <x v="1"/>
  </r>
  <r>
    <n v="22634"/>
    <x v="1"/>
    <x v="0"/>
    <n v="40000"/>
    <x v="3"/>
    <x v="4"/>
    <x v="1"/>
    <x v="0"/>
    <x v="0"/>
    <x v="0"/>
    <x v="0"/>
    <n v="38"/>
    <x v="0"/>
    <x v="1"/>
  </r>
  <r>
    <n v="15665"/>
    <x v="0"/>
    <x v="0"/>
    <n v="30000"/>
    <x v="3"/>
    <x v="0"/>
    <x v="1"/>
    <x v="0"/>
    <x v="0"/>
    <x v="0"/>
    <x v="0"/>
    <n v="47"/>
    <x v="0"/>
    <x v="1"/>
  </r>
  <r>
    <n v="27585"/>
    <x v="0"/>
    <x v="0"/>
    <n v="90000"/>
    <x v="4"/>
    <x v="0"/>
    <x v="2"/>
    <x v="1"/>
    <x v="0"/>
    <x v="0"/>
    <x v="1"/>
    <n v="36"/>
    <x v="0"/>
    <x v="1"/>
  </r>
  <r>
    <n v="19748"/>
    <x v="0"/>
    <x v="1"/>
    <n v="20000"/>
    <x v="5"/>
    <x v="2"/>
    <x v="0"/>
    <x v="1"/>
    <x v="2"/>
    <x v="3"/>
    <x v="1"/>
    <n v="60"/>
    <x v="1"/>
    <x v="0"/>
  </r>
  <r>
    <n v="21974"/>
    <x v="1"/>
    <x v="0"/>
    <n v="70000"/>
    <x v="3"/>
    <x v="0"/>
    <x v="2"/>
    <x v="0"/>
    <x v="1"/>
    <x v="2"/>
    <x v="1"/>
    <n v="42"/>
    <x v="0"/>
    <x v="1"/>
  </r>
  <r>
    <n v="14032"/>
    <x v="0"/>
    <x v="1"/>
    <n v="70000"/>
    <x v="4"/>
    <x v="2"/>
    <x v="0"/>
    <x v="1"/>
    <x v="2"/>
    <x v="3"/>
    <x v="1"/>
    <n v="50"/>
    <x v="0"/>
    <x v="1"/>
  </r>
  <r>
    <n v="22610"/>
    <x v="0"/>
    <x v="1"/>
    <n v="30000"/>
    <x v="3"/>
    <x v="0"/>
    <x v="1"/>
    <x v="0"/>
    <x v="0"/>
    <x v="0"/>
    <x v="0"/>
    <n v="35"/>
    <x v="0"/>
    <x v="1"/>
  </r>
  <r>
    <n v="26984"/>
    <x v="0"/>
    <x v="1"/>
    <n v="40000"/>
    <x v="0"/>
    <x v="0"/>
    <x v="0"/>
    <x v="0"/>
    <x v="1"/>
    <x v="0"/>
    <x v="0"/>
    <n v="32"/>
    <x v="0"/>
    <x v="1"/>
  </r>
  <r>
    <n v="18294"/>
    <x v="0"/>
    <x v="0"/>
    <n v="90000"/>
    <x v="0"/>
    <x v="0"/>
    <x v="2"/>
    <x v="0"/>
    <x v="1"/>
    <x v="2"/>
    <x v="1"/>
    <n v="46"/>
    <x v="0"/>
    <x v="0"/>
  </r>
  <r>
    <n v="28564"/>
    <x v="1"/>
    <x v="0"/>
    <n v="40000"/>
    <x v="4"/>
    <x v="1"/>
    <x v="1"/>
    <x v="0"/>
    <x v="0"/>
    <x v="3"/>
    <x v="0"/>
    <n v="33"/>
    <x v="0"/>
    <x v="1"/>
  </r>
  <r>
    <n v="28521"/>
    <x v="1"/>
    <x v="1"/>
    <n v="40000"/>
    <x v="3"/>
    <x v="4"/>
    <x v="1"/>
    <x v="1"/>
    <x v="0"/>
    <x v="0"/>
    <x v="0"/>
    <n v="36"/>
    <x v="0"/>
    <x v="1"/>
  </r>
  <r>
    <n v="15450"/>
    <x v="0"/>
    <x v="1"/>
    <n v="10000"/>
    <x v="0"/>
    <x v="4"/>
    <x v="1"/>
    <x v="0"/>
    <x v="0"/>
    <x v="0"/>
    <x v="0"/>
    <n v="70"/>
    <x v="1"/>
    <x v="0"/>
  </r>
  <r>
    <n v="25681"/>
    <x v="1"/>
    <x v="0"/>
    <n v="30000"/>
    <x v="3"/>
    <x v="1"/>
    <x v="1"/>
    <x v="1"/>
    <x v="1"/>
    <x v="1"/>
    <x v="0"/>
    <n v="31"/>
    <x v="0"/>
    <x v="1"/>
  </r>
  <r>
    <n v="19491"/>
    <x v="1"/>
    <x v="1"/>
    <n v="30000"/>
    <x v="4"/>
    <x v="1"/>
    <x v="1"/>
    <x v="0"/>
    <x v="2"/>
    <x v="0"/>
    <x v="0"/>
    <n v="42"/>
    <x v="0"/>
    <x v="0"/>
  </r>
  <r>
    <n v="26415"/>
    <x v="0"/>
    <x v="0"/>
    <n v="90000"/>
    <x v="5"/>
    <x v="3"/>
    <x v="0"/>
    <x v="0"/>
    <x v="3"/>
    <x v="4"/>
    <x v="0"/>
    <n v="58"/>
    <x v="1"/>
    <x v="0"/>
  </r>
  <r>
    <n v="12821"/>
    <x v="0"/>
    <x v="1"/>
    <n v="40000"/>
    <x v="3"/>
    <x v="0"/>
    <x v="1"/>
    <x v="0"/>
    <x v="0"/>
    <x v="0"/>
    <x v="0"/>
    <n v="39"/>
    <x v="0"/>
    <x v="0"/>
  </r>
  <r>
    <n v="15629"/>
    <x v="1"/>
    <x v="0"/>
    <n v="10000"/>
    <x v="3"/>
    <x v="3"/>
    <x v="3"/>
    <x v="0"/>
    <x v="2"/>
    <x v="3"/>
    <x v="0"/>
    <n v="34"/>
    <x v="0"/>
    <x v="0"/>
  </r>
  <r>
    <n v="27835"/>
    <x v="0"/>
    <x v="1"/>
    <n v="20000"/>
    <x v="3"/>
    <x v="3"/>
    <x v="3"/>
    <x v="0"/>
    <x v="2"/>
    <x v="0"/>
    <x v="0"/>
    <n v="32"/>
    <x v="0"/>
    <x v="0"/>
  </r>
  <r>
    <n v="11738"/>
    <x v="0"/>
    <x v="1"/>
    <n v="60000"/>
    <x v="5"/>
    <x v="0"/>
    <x v="2"/>
    <x v="0"/>
    <x v="0"/>
    <x v="1"/>
    <x v="2"/>
    <n v="46"/>
    <x v="0"/>
    <x v="0"/>
  </r>
  <r>
    <n v="25065"/>
    <x v="0"/>
    <x v="1"/>
    <n v="70000"/>
    <x v="4"/>
    <x v="3"/>
    <x v="0"/>
    <x v="0"/>
    <x v="2"/>
    <x v="2"/>
    <x v="2"/>
    <n v="48"/>
    <x v="0"/>
    <x v="0"/>
  </r>
  <r>
    <n v="26238"/>
    <x v="1"/>
    <x v="0"/>
    <n v="40000"/>
    <x v="1"/>
    <x v="1"/>
    <x v="1"/>
    <x v="0"/>
    <x v="1"/>
    <x v="3"/>
    <x v="2"/>
    <n v="31"/>
    <x v="0"/>
    <x v="1"/>
  </r>
  <r>
    <n v="23707"/>
    <x v="1"/>
    <x v="1"/>
    <n v="70000"/>
    <x v="2"/>
    <x v="0"/>
    <x v="4"/>
    <x v="0"/>
    <x v="4"/>
    <x v="4"/>
    <x v="2"/>
    <n v="60"/>
    <x v="1"/>
    <x v="1"/>
  </r>
  <r>
    <n v="27650"/>
    <x v="0"/>
    <x v="1"/>
    <n v="70000"/>
    <x v="5"/>
    <x v="2"/>
    <x v="2"/>
    <x v="0"/>
    <x v="0"/>
    <x v="2"/>
    <x v="2"/>
    <n v="51"/>
    <x v="0"/>
    <x v="0"/>
  </r>
  <r>
    <n v="24981"/>
    <x v="0"/>
    <x v="1"/>
    <n v="60000"/>
    <x v="4"/>
    <x v="1"/>
    <x v="2"/>
    <x v="0"/>
    <x v="2"/>
    <x v="4"/>
    <x v="2"/>
    <n v="56"/>
    <x v="1"/>
    <x v="0"/>
  </r>
  <r>
    <n v="20678"/>
    <x v="1"/>
    <x v="0"/>
    <n v="60000"/>
    <x v="1"/>
    <x v="0"/>
    <x v="0"/>
    <x v="0"/>
    <x v="1"/>
    <x v="1"/>
    <x v="2"/>
    <n v="40"/>
    <x v="0"/>
    <x v="1"/>
  </r>
  <r>
    <n v="15302"/>
    <x v="1"/>
    <x v="0"/>
    <n v="70000"/>
    <x v="0"/>
    <x v="4"/>
    <x v="2"/>
    <x v="0"/>
    <x v="0"/>
    <x v="1"/>
    <x v="2"/>
    <n v="34"/>
    <x v="0"/>
    <x v="1"/>
  </r>
  <r>
    <n v="26012"/>
    <x v="0"/>
    <x v="1"/>
    <n v="80000"/>
    <x v="0"/>
    <x v="1"/>
    <x v="0"/>
    <x v="0"/>
    <x v="1"/>
    <x v="1"/>
    <x v="2"/>
    <n v="48"/>
    <x v="0"/>
    <x v="1"/>
  </r>
  <r>
    <n v="26575"/>
    <x v="1"/>
    <x v="0"/>
    <n v="40000"/>
    <x v="3"/>
    <x v="2"/>
    <x v="0"/>
    <x v="1"/>
    <x v="2"/>
    <x v="3"/>
    <x v="2"/>
    <n v="31"/>
    <x v="0"/>
    <x v="1"/>
  </r>
  <r>
    <n v="15559"/>
    <x v="0"/>
    <x v="1"/>
    <n v="60000"/>
    <x v="2"/>
    <x v="0"/>
    <x v="2"/>
    <x v="0"/>
    <x v="1"/>
    <x v="1"/>
    <x v="2"/>
    <n v="47"/>
    <x v="0"/>
    <x v="0"/>
  </r>
  <r>
    <n v="19235"/>
    <x v="0"/>
    <x v="0"/>
    <n v="50000"/>
    <x v="3"/>
    <x v="4"/>
    <x v="0"/>
    <x v="0"/>
    <x v="0"/>
    <x v="0"/>
    <x v="2"/>
    <n v="34"/>
    <x v="0"/>
    <x v="0"/>
  </r>
  <r>
    <n v="15275"/>
    <x v="0"/>
    <x v="1"/>
    <n v="40000"/>
    <x v="3"/>
    <x v="1"/>
    <x v="0"/>
    <x v="0"/>
    <x v="1"/>
    <x v="2"/>
    <x v="2"/>
    <n v="29"/>
    <x v="2"/>
    <x v="0"/>
  </r>
  <r>
    <n v="20339"/>
    <x v="0"/>
    <x v="0"/>
    <n v="130000"/>
    <x v="0"/>
    <x v="0"/>
    <x v="4"/>
    <x v="0"/>
    <x v="3"/>
    <x v="1"/>
    <x v="2"/>
    <n v="44"/>
    <x v="0"/>
    <x v="1"/>
  </r>
  <r>
    <n v="25405"/>
    <x v="0"/>
    <x v="1"/>
    <n v="70000"/>
    <x v="4"/>
    <x v="0"/>
    <x v="0"/>
    <x v="0"/>
    <x v="1"/>
    <x v="1"/>
    <x v="2"/>
    <n v="38"/>
    <x v="0"/>
    <x v="1"/>
  </r>
  <r>
    <n v="15940"/>
    <x v="0"/>
    <x v="1"/>
    <n v="100000"/>
    <x v="5"/>
    <x v="1"/>
    <x v="2"/>
    <x v="0"/>
    <x v="3"/>
    <x v="0"/>
    <x v="2"/>
    <n v="40"/>
    <x v="0"/>
    <x v="0"/>
  </r>
  <r>
    <n v="25074"/>
    <x v="0"/>
    <x v="0"/>
    <n v="70000"/>
    <x v="5"/>
    <x v="0"/>
    <x v="2"/>
    <x v="0"/>
    <x v="2"/>
    <x v="1"/>
    <x v="2"/>
    <n v="42"/>
    <x v="0"/>
    <x v="1"/>
  </r>
  <r>
    <n v="24738"/>
    <x v="0"/>
    <x v="0"/>
    <n v="40000"/>
    <x v="0"/>
    <x v="1"/>
    <x v="1"/>
    <x v="0"/>
    <x v="1"/>
    <x v="3"/>
    <x v="2"/>
    <n v="51"/>
    <x v="0"/>
    <x v="1"/>
  </r>
  <r>
    <n v="16337"/>
    <x v="0"/>
    <x v="1"/>
    <n v="60000"/>
    <x v="3"/>
    <x v="1"/>
    <x v="0"/>
    <x v="1"/>
    <x v="2"/>
    <x v="3"/>
    <x v="2"/>
    <n v="29"/>
    <x v="2"/>
    <x v="0"/>
  </r>
  <r>
    <n v="24357"/>
    <x v="0"/>
    <x v="1"/>
    <n v="80000"/>
    <x v="1"/>
    <x v="0"/>
    <x v="2"/>
    <x v="0"/>
    <x v="1"/>
    <x v="1"/>
    <x v="2"/>
    <n v="48"/>
    <x v="0"/>
    <x v="1"/>
  </r>
  <r>
    <n v="18613"/>
    <x v="1"/>
    <x v="1"/>
    <n v="70000"/>
    <x v="3"/>
    <x v="0"/>
    <x v="2"/>
    <x v="1"/>
    <x v="1"/>
    <x v="1"/>
    <x v="2"/>
    <n v="37"/>
    <x v="0"/>
    <x v="1"/>
  </r>
  <r>
    <n v="12207"/>
    <x v="1"/>
    <x v="1"/>
    <n v="80000"/>
    <x v="5"/>
    <x v="0"/>
    <x v="4"/>
    <x v="0"/>
    <x v="0"/>
    <x v="2"/>
    <x v="2"/>
    <n v="66"/>
    <x v="1"/>
    <x v="1"/>
  </r>
  <r>
    <n v="18052"/>
    <x v="0"/>
    <x v="0"/>
    <n v="60000"/>
    <x v="0"/>
    <x v="1"/>
    <x v="0"/>
    <x v="0"/>
    <x v="1"/>
    <x v="0"/>
    <x v="2"/>
    <n v="45"/>
    <x v="0"/>
    <x v="1"/>
  </r>
  <r>
    <n v="13353"/>
    <x v="1"/>
    <x v="0"/>
    <n v="60000"/>
    <x v="5"/>
    <x v="4"/>
    <x v="4"/>
    <x v="0"/>
    <x v="2"/>
    <x v="4"/>
    <x v="2"/>
    <n v="61"/>
    <x v="1"/>
    <x v="1"/>
  </r>
  <r>
    <n v="19399"/>
    <x v="1"/>
    <x v="1"/>
    <n v="40000"/>
    <x v="3"/>
    <x v="0"/>
    <x v="2"/>
    <x v="1"/>
    <x v="1"/>
    <x v="1"/>
    <x v="2"/>
    <n v="45"/>
    <x v="0"/>
    <x v="0"/>
  </r>
  <r>
    <n v="16154"/>
    <x v="0"/>
    <x v="0"/>
    <n v="70000"/>
    <x v="2"/>
    <x v="0"/>
    <x v="2"/>
    <x v="0"/>
    <x v="2"/>
    <x v="1"/>
    <x v="2"/>
    <n v="47"/>
    <x v="0"/>
    <x v="0"/>
  </r>
  <r>
    <n v="22219"/>
    <x v="0"/>
    <x v="0"/>
    <n v="60000"/>
    <x v="4"/>
    <x v="2"/>
    <x v="2"/>
    <x v="0"/>
    <x v="2"/>
    <x v="2"/>
    <x v="2"/>
    <n v="49"/>
    <x v="0"/>
    <x v="0"/>
  </r>
  <r>
    <n v="17269"/>
    <x v="1"/>
    <x v="1"/>
    <n v="60000"/>
    <x v="1"/>
    <x v="0"/>
    <x v="2"/>
    <x v="1"/>
    <x v="0"/>
    <x v="0"/>
    <x v="2"/>
    <n v="47"/>
    <x v="0"/>
    <x v="1"/>
  </r>
  <r>
    <n v="23586"/>
    <x v="0"/>
    <x v="0"/>
    <n v="80000"/>
    <x v="3"/>
    <x v="0"/>
    <x v="4"/>
    <x v="0"/>
    <x v="1"/>
    <x v="3"/>
    <x v="2"/>
    <n v="34"/>
    <x v="0"/>
    <x v="1"/>
  </r>
  <r>
    <n v="15740"/>
    <x v="0"/>
    <x v="1"/>
    <n v="80000"/>
    <x v="2"/>
    <x v="0"/>
    <x v="4"/>
    <x v="0"/>
    <x v="2"/>
    <x v="3"/>
    <x v="2"/>
    <n v="64"/>
    <x v="1"/>
    <x v="0"/>
  </r>
  <r>
    <n v="27638"/>
    <x v="1"/>
    <x v="1"/>
    <n v="100000"/>
    <x v="0"/>
    <x v="1"/>
    <x v="2"/>
    <x v="1"/>
    <x v="4"/>
    <x v="3"/>
    <x v="2"/>
    <n v="44"/>
    <x v="0"/>
    <x v="0"/>
  </r>
  <r>
    <n v="18976"/>
    <x v="1"/>
    <x v="1"/>
    <n v="40000"/>
    <x v="5"/>
    <x v="2"/>
    <x v="2"/>
    <x v="0"/>
    <x v="2"/>
    <x v="4"/>
    <x v="2"/>
    <n v="62"/>
    <x v="1"/>
    <x v="1"/>
  </r>
  <r>
    <n v="19413"/>
    <x v="1"/>
    <x v="1"/>
    <n v="60000"/>
    <x v="1"/>
    <x v="0"/>
    <x v="2"/>
    <x v="1"/>
    <x v="1"/>
    <x v="0"/>
    <x v="2"/>
    <n v="47"/>
    <x v="0"/>
    <x v="1"/>
  </r>
  <r>
    <n v="13283"/>
    <x v="0"/>
    <x v="1"/>
    <n v="80000"/>
    <x v="1"/>
    <x v="1"/>
    <x v="2"/>
    <x v="1"/>
    <x v="2"/>
    <x v="0"/>
    <x v="2"/>
    <n v="49"/>
    <x v="0"/>
    <x v="1"/>
  </r>
  <r>
    <n v="17471"/>
    <x v="1"/>
    <x v="0"/>
    <n v="80000"/>
    <x v="5"/>
    <x v="4"/>
    <x v="4"/>
    <x v="0"/>
    <x v="2"/>
    <x v="2"/>
    <x v="2"/>
    <n v="67"/>
    <x v="1"/>
    <x v="0"/>
  </r>
  <r>
    <n v="16791"/>
    <x v="1"/>
    <x v="1"/>
    <n v="60000"/>
    <x v="2"/>
    <x v="0"/>
    <x v="4"/>
    <x v="0"/>
    <x v="4"/>
    <x v="4"/>
    <x v="2"/>
    <n v="59"/>
    <x v="1"/>
    <x v="1"/>
  </r>
  <r>
    <n v="15382"/>
    <x v="0"/>
    <x v="0"/>
    <n v="110000"/>
    <x v="0"/>
    <x v="0"/>
    <x v="4"/>
    <x v="0"/>
    <x v="2"/>
    <x v="3"/>
    <x v="2"/>
    <n v="44"/>
    <x v="0"/>
    <x v="0"/>
  </r>
  <r>
    <n v="11641"/>
    <x v="0"/>
    <x v="1"/>
    <n v="50000"/>
    <x v="0"/>
    <x v="0"/>
    <x v="0"/>
    <x v="0"/>
    <x v="0"/>
    <x v="0"/>
    <x v="2"/>
    <n v="36"/>
    <x v="0"/>
    <x v="0"/>
  </r>
  <r>
    <n v="11935"/>
    <x v="1"/>
    <x v="0"/>
    <n v="30000"/>
    <x v="3"/>
    <x v="1"/>
    <x v="0"/>
    <x v="0"/>
    <x v="1"/>
    <x v="2"/>
    <x v="2"/>
    <n v="28"/>
    <x v="2"/>
    <x v="0"/>
  </r>
  <r>
    <n v="13233"/>
    <x v="0"/>
    <x v="1"/>
    <n v="60000"/>
    <x v="4"/>
    <x v="1"/>
    <x v="2"/>
    <x v="0"/>
    <x v="1"/>
    <x v="4"/>
    <x v="2"/>
    <n v="57"/>
    <x v="1"/>
    <x v="1"/>
  </r>
  <r>
    <n v="25909"/>
    <x v="0"/>
    <x v="1"/>
    <n v="60000"/>
    <x v="3"/>
    <x v="1"/>
    <x v="0"/>
    <x v="0"/>
    <x v="1"/>
    <x v="2"/>
    <x v="2"/>
    <n v="27"/>
    <x v="2"/>
    <x v="1"/>
  </r>
  <r>
    <n v="14092"/>
    <x v="1"/>
    <x v="1"/>
    <n v="30000"/>
    <x v="3"/>
    <x v="3"/>
    <x v="1"/>
    <x v="0"/>
    <x v="2"/>
    <x v="2"/>
    <x v="2"/>
    <n v="28"/>
    <x v="2"/>
    <x v="0"/>
  </r>
  <r>
    <n v="29143"/>
    <x v="1"/>
    <x v="0"/>
    <n v="60000"/>
    <x v="0"/>
    <x v="0"/>
    <x v="2"/>
    <x v="1"/>
    <x v="1"/>
    <x v="0"/>
    <x v="2"/>
    <n v="44"/>
    <x v="0"/>
    <x v="1"/>
  </r>
  <r>
    <n v="24941"/>
    <x v="0"/>
    <x v="1"/>
    <n v="60000"/>
    <x v="1"/>
    <x v="0"/>
    <x v="4"/>
    <x v="0"/>
    <x v="2"/>
    <x v="4"/>
    <x v="2"/>
    <n v="66"/>
    <x v="1"/>
    <x v="0"/>
  </r>
  <r>
    <n v="24637"/>
    <x v="0"/>
    <x v="1"/>
    <n v="40000"/>
    <x v="5"/>
    <x v="2"/>
    <x v="2"/>
    <x v="0"/>
    <x v="2"/>
    <x v="4"/>
    <x v="2"/>
    <n v="64"/>
    <x v="1"/>
    <x v="0"/>
  </r>
  <r>
    <n v="23893"/>
    <x v="0"/>
    <x v="1"/>
    <n v="50000"/>
    <x v="1"/>
    <x v="0"/>
    <x v="0"/>
    <x v="0"/>
    <x v="4"/>
    <x v="4"/>
    <x v="2"/>
    <n v="41"/>
    <x v="0"/>
    <x v="0"/>
  </r>
  <r>
    <n v="13907"/>
    <x v="1"/>
    <x v="0"/>
    <n v="80000"/>
    <x v="1"/>
    <x v="0"/>
    <x v="0"/>
    <x v="0"/>
    <x v="1"/>
    <x v="0"/>
    <x v="2"/>
    <n v="41"/>
    <x v="0"/>
    <x v="1"/>
  </r>
  <r>
    <n v="14900"/>
    <x v="0"/>
    <x v="0"/>
    <n v="40000"/>
    <x v="0"/>
    <x v="1"/>
    <x v="1"/>
    <x v="0"/>
    <x v="1"/>
    <x v="3"/>
    <x v="2"/>
    <n v="49"/>
    <x v="0"/>
    <x v="1"/>
  </r>
  <r>
    <n v="11262"/>
    <x v="0"/>
    <x v="0"/>
    <n v="80000"/>
    <x v="5"/>
    <x v="0"/>
    <x v="4"/>
    <x v="0"/>
    <x v="0"/>
    <x v="0"/>
    <x v="2"/>
    <n v="42"/>
    <x v="0"/>
    <x v="0"/>
  </r>
  <r>
    <n v="22294"/>
    <x v="1"/>
    <x v="0"/>
    <n v="70000"/>
    <x v="3"/>
    <x v="0"/>
    <x v="2"/>
    <x v="1"/>
    <x v="1"/>
    <x v="1"/>
    <x v="2"/>
    <n v="37"/>
    <x v="0"/>
    <x v="1"/>
  </r>
  <r>
    <n v="12195"/>
    <x v="1"/>
    <x v="0"/>
    <n v="70000"/>
    <x v="1"/>
    <x v="4"/>
    <x v="4"/>
    <x v="0"/>
    <x v="2"/>
    <x v="3"/>
    <x v="2"/>
    <n v="52"/>
    <x v="0"/>
    <x v="0"/>
  </r>
  <r>
    <n v="25375"/>
    <x v="0"/>
    <x v="1"/>
    <n v="50000"/>
    <x v="0"/>
    <x v="4"/>
    <x v="0"/>
    <x v="0"/>
    <x v="0"/>
    <x v="3"/>
    <x v="2"/>
    <n v="34"/>
    <x v="0"/>
    <x v="0"/>
  </r>
  <r>
    <n v="11143"/>
    <x v="0"/>
    <x v="1"/>
    <n v="40000"/>
    <x v="3"/>
    <x v="2"/>
    <x v="0"/>
    <x v="0"/>
    <x v="2"/>
    <x v="2"/>
    <x v="2"/>
    <n v="29"/>
    <x v="2"/>
    <x v="0"/>
  </r>
  <r>
    <n v="25898"/>
    <x v="0"/>
    <x v="0"/>
    <n v="70000"/>
    <x v="4"/>
    <x v="2"/>
    <x v="2"/>
    <x v="0"/>
    <x v="2"/>
    <x v="1"/>
    <x v="2"/>
    <n v="53"/>
    <x v="0"/>
    <x v="0"/>
  </r>
  <r>
    <n v="24397"/>
    <x v="1"/>
    <x v="1"/>
    <n v="120000"/>
    <x v="4"/>
    <x v="0"/>
    <x v="4"/>
    <x v="1"/>
    <x v="3"/>
    <x v="3"/>
    <x v="2"/>
    <n v="40"/>
    <x v="0"/>
    <x v="0"/>
  </r>
  <r>
    <n v="19758"/>
    <x v="1"/>
    <x v="1"/>
    <n v="60000"/>
    <x v="3"/>
    <x v="1"/>
    <x v="0"/>
    <x v="1"/>
    <x v="2"/>
    <x v="3"/>
    <x v="2"/>
    <n v="29"/>
    <x v="2"/>
    <x v="0"/>
  </r>
  <r>
    <n v="15529"/>
    <x v="0"/>
    <x v="1"/>
    <n v="60000"/>
    <x v="5"/>
    <x v="0"/>
    <x v="2"/>
    <x v="0"/>
    <x v="2"/>
    <x v="1"/>
    <x v="2"/>
    <n v="43"/>
    <x v="0"/>
    <x v="1"/>
  </r>
  <r>
    <n v="19884"/>
    <x v="0"/>
    <x v="1"/>
    <n v="60000"/>
    <x v="4"/>
    <x v="2"/>
    <x v="2"/>
    <x v="0"/>
    <x v="2"/>
    <x v="1"/>
    <x v="2"/>
    <n v="55"/>
    <x v="0"/>
    <x v="1"/>
  </r>
  <r>
    <n v="18674"/>
    <x v="1"/>
    <x v="0"/>
    <n v="80000"/>
    <x v="5"/>
    <x v="4"/>
    <x v="0"/>
    <x v="1"/>
    <x v="0"/>
    <x v="0"/>
    <x v="2"/>
    <n v="48"/>
    <x v="0"/>
    <x v="0"/>
  </r>
  <r>
    <n v="13453"/>
    <x v="0"/>
    <x v="0"/>
    <n v="130000"/>
    <x v="1"/>
    <x v="0"/>
    <x v="4"/>
    <x v="0"/>
    <x v="4"/>
    <x v="0"/>
    <x v="2"/>
    <n v="45"/>
    <x v="0"/>
    <x v="1"/>
  </r>
  <r>
    <n v="14063"/>
    <x v="1"/>
    <x v="0"/>
    <n v="70000"/>
    <x v="3"/>
    <x v="0"/>
    <x v="2"/>
    <x v="1"/>
    <x v="1"/>
    <x v="0"/>
    <x v="1"/>
    <n v="42"/>
    <x v="0"/>
    <x v="1"/>
  </r>
  <r>
    <n v="27393"/>
    <x v="0"/>
    <x v="0"/>
    <n v="50000"/>
    <x v="5"/>
    <x v="0"/>
    <x v="4"/>
    <x v="0"/>
    <x v="2"/>
    <x v="4"/>
    <x v="2"/>
    <n v="63"/>
    <x v="1"/>
    <x v="0"/>
  </r>
  <r>
    <n v="14417"/>
    <x v="1"/>
    <x v="1"/>
    <n v="60000"/>
    <x v="1"/>
    <x v="2"/>
    <x v="2"/>
    <x v="0"/>
    <x v="2"/>
    <x v="4"/>
    <x v="2"/>
    <n v="54"/>
    <x v="0"/>
    <x v="1"/>
  </r>
  <r>
    <n v="17533"/>
    <x v="0"/>
    <x v="1"/>
    <n v="40000"/>
    <x v="1"/>
    <x v="1"/>
    <x v="2"/>
    <x v="1"/>
    <x v="2"/>
    <x v="2"/>
    <x v="2"/>
    <n v="73"/>
    <x v="1"/>
    <x v="1"/>
  </r>
  <r>
    <n v="18580"/>
    <x v="0"/>
    <x v="0"/>
    <n v="60000"/>
    <x v="4"/>
    <x v="4"/>
    <x v="2"/>
    <x v="0"/>
    <x v="0"/>
    <x v="1"/>
    <x v="2"/>
    <n v="40"/>
    <x v="0"/>
    <x v="1"/>
  </r>
  <r>
    <n v="17025"/>
    <x v="1"/>
    <x v="1"/>
    <n v="50000"/>
    <x v="3"/>
    <x v="1"/>
    <x v="0"/>
    <x v="1"/>
    <x v="1"/>
    <x v="1"/>
    <x v="2"/>
    <n v="39"/>
    <x v="0"/>
    <x v="1"/>
  </r>
  <r>
    <n v="25293"/>
    <x v="0"/>
    <x v="1"/>
    <n v="80000"/>
    <x v="5"/>
    <x v="0"/>
    <x v="4"/>
    <x v="0"/>
    <x v="0"/>
    <x v="3"/>
    <x v="2"/>
    <n v="42"/>
    <x v="0"/>
    <x v="0"/>
  </r>
  <r>
    <n v="24725"/>
    <x v="0"/>
    <x v="0"/>
    <n v="40000"/>
    <x v="1"/>
    <x v="1"/>
    <x v="1"/>
    <x v="0"/>
    <x v="0"/>
    <x v="3"/>
    <x v="2"/>
    <n v="31"/>
    <x v="0"/>
    <x v="0"/>
  </r>
  <r>
    <n v="23200"/>
    <x v="0"/>
    <x v="0"/>
    <n v="50000"/>
    <x v="1"/>
    <x v="0"/>
    <x v="0"/>
    <x v="0"/>
    <x v="2"/>
    <x v="0"/>
    <x v="2"/>
    <n v="41"/>
    <x v="0"/>
    <x v="0"/>
  </r>
  <r>
    <n v="15895"/>
    <x v="1"/>
    <x v="0"/>
    <n v="60000"/>
    <x v="4"/>
    <x v="0"/>
    <x v="4"/>
    <x v="0"/>
    <x v="0"/>
    <x v="4"/>
    <x v="2"/>
    <n v="58"/>
    <x v="1"/>
    <x v="0"/>
  </r>
  <r>
    <n v="18577"/>
    <x v="0"/>
    <x v="0"/>
    <n v="60000"/>
    <x v="3"/>
    <x v="4"/>
    <x v="2"/>
    <x v="0"/>
    <x v="0"/>
    <x v="0"/>
    <x v="2"/>
    <n v="40"/>
    <x v="0"/>
    <x v="0"/>
  </r>
  <r>
    <n v="27218"/>
    <x v="0"/>
    <x v="0"/>
    <n v="20000"/>
    <x v="4"/>
    <x v="3"/>
    <x v="1"/>
    <x v="1"/>
    <x v="0"/>
    <x v="0"/>
    <x v="2"/>
    <n v="48"/>
    <x v="0"/>
    <x v="0"/>
  </r>
  <r>
    <n v="18560"/>
    <x v="0"/>
    <x v="0"/>
    <n v="70000"/>
    <x v="4"/>
    <x v="4"/>
    <x v="2"/>
    <x v="0"/>
    <x v="0"/>
    <x v="1"/>
    <x v="2"/>
    <n v="34"/>
    <x v="0"/>
    <x v="1"/>
  </r>
  <r>
    <n v="25006"/>
    <x v="1"/>
    <x v="0"/>
    <n v="30000"/>
    <x v="3"/>
    <x v="1"/>
    <x v="0"/>
    <x v="0"/>
    <x v="1"/>
    <x v="2"/>
    <x v="2"/>
    <n v="28"/>
    <x v="2"/>
    <x v="0"/>
  </r>
  <r>
    <n v="17369"/>
    <x v="1"/>
    <x v="1"/>
    <n v="30000"/>
    <x v="3"/>
    <x v="1"/>
    <x v="0"/>
    <x v="0"/>
    <x v="1"/>
    <x v="2"/>
    <x v="2"/>
    <n v="27"/>
    <x v="2"/>
    <x v="0"/>
  </r>
  <r>
    <n v="14495"/>
    <x v="0"/>
    <x v="1"/>
    <n v="40000"/>
    <x v="1"/>
    <x v="1"/>
    <x v="2"/>
    <x v="1"/>
    <x v="2"/>
    <x v="2"/>
    <x v="2"/>
    <n v="54"/>
    <x v="0"/>
    <x v="1"/>
  </r>
  <r>
    <n v="18847"/>
    <x v="0"/>
    <x v="0"/>
    <n v="60000"/>
    <x v="4"/>
    <x v="4"/>
    <x v="4"/>
    <x v="0"/>
    <x v="2"/>
    <x v="2"/>
    <x v="2"/>
    <n v="70"/>
    <x v="1"/>
    <x v="0"/>
  </r>
  <r>
    <n v="14754"/>
    <x v="0"/>
    <x v="1"/>
    <n v="40000"/>
    <x v="0"/>
    <x v="1"/>
    <x v="1"/>
    <x v="0"/>
    <x v="1"/>
    <x v="3"/>
    <x v="2"/>
    <n v="48"/>
    <x v="0"/>
    <x v="1"/>
  </r>
  <r>
    <n v="23378"/>
    <x v="0"/>
    <x v="1"/>
    <n v="70000"/>
    <x v="0"/>
    <x v="1"/>
    <x v="0"/>
    <x v="0"/>
    <x v="1"/>
    <x v="1"/>
    <x v="2"/>
    <n v="44"/>
    <x v="0"/>
    <x v="1"/>
  </r>
  <r>
    <n v="26452"/>
    <x v="1"/>
    <x v="1"/>
    <n v="50000"/>
    <x v="1"/>
    <x v="4"/>
    <x v="4"/>
    <x v="0"/>
    <x v="2"/>
    <x v="4"/>
    <x v="2"/>
    <n v="69"/>
    <x v="1"/>
    <x v="0"/>
  </r>
  <r>
    <n v="20370"/>
    <x v="0"/>
    <x v="1"/>
    <n v="70000"/>
    <x v="1"/>
    <x v="3"/>
    <x v="0"/>
    <x v="0"/>
    <x v="2"/>
    <x v="2"/>
    <x v="2"/>
    <n v="52"/>
    <x v="0"/>
    <x v="0"/>
  </r>
  <r>
    <n v="20528"/>
    <x v="0"/>
    <x v="1"/>
    <n v="40000"/>
    <x v="4"/>
    <x v="3"/>
    <x v="0"/>
    <x v="0"/>
    <x v="2"/>
    <x v="1"/>
    <x v="2"/>
    <n v="55"/>
    <x v="0"/>
    <x v="0"/>
  </r>
  <r>
    <n v="23549"/>
    <x v="1"/>
    <x v="1"/>
    <n v="30000"/>
    <x v="3"/>
    <x v="2"/>
    <x v="0"/>
    <x v="0"/>
    <x v="2"/>
    <x v="2"/>
    <x v="2"/>
    <n v="30"/>
    <x v="2"/>
    <x v="0"/>
  </r>
  <r>
    <n v="21751"/>
    <x v="0"/>
    <x v="1"/>
    <n v="60000"/>
    <x v="1"/>
    <x v="4"/>
    <x v="4"/>
    <x v="0"/>
    <x v="2"/>
    <x v="3"/>
    <x v="2"/>
    <n v="63"/>
    <x v="1"/>
    <x v="0"/>
  </r>
  <r>
    <n v="21266"/>
    <x v="1"/>
    <x v="0"/>
    <n v="80000"/>
    <x v="3"/>
    <x v="0"/>
    <x v="4"/>
    <x v="0"/>
    <x v="1"/>
    <x v="3"/>
    <x v="2"/>
    <n v="34"/>
    <x v="0"/>
    <x v="1"/>
  </r>
  <r>
    <n v="13388"/>
    <x v="1"/>
    <x v="1"/>
    <n v="60000"/>
    <x v="4"/>
    <x v="1"/>
    <x v="2"/>
    <x v="0"/>
    <x v="1"/>
    <x v="4"/>
    <x v="2"/>
    <n v="56"/>
    <x v="1"/>
    <x v="0"/>
  </r>
  <r>
    <n v="18752"/>
    <x v="1"/>
    <x v="0"/>
    <n v="40000"/>
    <x v="3"/>
    <x v="2"/>
    <x v="0"/>
    <x v="0"/>
    <x v="1"/>
    <x v="2"/>
    <x v="2"/>
    <n v="31"/>
    <x v="0"/>
    <x v="0"/>
  </r>
  <r>
    <n v="16917"/>
    <x v="0"/>
    <x v="1"/>
    <n v="120000"/>
    <x v="0"/>
    <x v="0"/>
    <x v="4"/>
    <x v="0"/>
    <x v="3"/>
    <x v="0"/>
    <x v="2"/>
    <n v="38"/>
    <x v="0"/>
    <x v="0"/>
  </r>
  <r>
    <n v="15313"/>
    <x v="0"/>
    <x v="1"/>
    <n v="60000"/>
    <x v="5"/>
    <x v="0"/>
    <x v="4"/>
    <x v="0"/>
    <x v="2"/>
    <x v="1"/>
    <x v="2"/>
    <n v="59"/>
    <x v="1"/>
    <x v="0"/>
  </r>
  <r>
    <n v="25329"/>
    <x v="1"/>
    <x v="0"/>
    <n v="40000"/>
    <x v="1"/>
    <x v="1"/>
    <x v="1"/>
    <x v="1"/>
    <x v="2"/>
    <x v="0"/>
    <x v="2"/>
    <n v="32"/>
    <x v="0"/>
    <x v="0"/>
  </r>
  <r>
    <n v="20380"/>
    <x v="0"/>
    <x v="0"/>
    <n v="60000"/>
    <x v="1"/>
    <x v="4"/>
    <x v="4"/>
    <x v="0"/>
    <x v="2"/>
    <x v="4"/>
    <x v="2"/>
    <n v="69"/>
    <x v="1"/>
    <x v="0"/>
  </r>
  <r>
    <n v="23089"/>
    <x v="0"/>
    <x v="1"/>
    <n v="40000"/>
    <x v="3"/>
    <x v="1"/>
    <x v="0"/>
    <x v="0"/>
    <x v="1"/>
    <x v="2"/>
    <x v="2"/>
    <n v="28"/>
    <x v="2"/>
    <x v="0"/>
  </r>
  <r>
    <n v="13749"/>
    <x v="0"/>
    <x v="1"/>
    <n v="80000"/>
    <x v="5"/>
    <x v="4"/>
    <x v="0"/>
    <x v="0"/>
    <x v="0"/>
    <x v="3"/>
    <x v="2"/>
    <n v="47"/>
    <x v="0"/>
    <x v="0"/>
  </r>
  <r>
    <n v="24943"/>
    <x v="0"/>
    <x v="1"/>
    <n v="60000"/>
    <x v="1"/>
    <x v="0"/>
    <x v="4"/>
    <x v="0"/>
    <x v="2"/>
    <x v="4"/>
    <x v="2"/>
    <n v="66"/>
    <x v="1"/>
    <x v="0"/>
  </r>
  <r>
    <n v="28667"/>
    <x v="1"/>
    <x v="1"/>
    <n v="70000"/>
    <x v="4"/>
    <x v="0"/>
    <x v="0"/>
    <x v="1"/>
    <x v="1"/>
    <x v="0"/>
    <x v="2"/>
    <n v="37"/>
    <x v="0"/>
    <x v="1"/>
  </r>
  <r>
    <n v="15194"/>
    <x v="1"/>
    <x v="1"/>
    <n v="120000"/>
    <x v="4"/>
    <x v="0"/>
    <x v="4"/>
    <x v="1"/>
    <x v="4"/>
    <x v="0"/>
    <x v="2"/>
    <n v="39"/>
    <x v="0"/>
    <x v="1"/>
  </r>
  <r>
    <n v="17436"/>
    <x v="0"/>
    <x v="1"/>
    <n v="60000"/>
    <x v="4"/>
    <x v="2"/>
    <x v="2"/>
    <x v="1"/>
    <x v="2"/>
    <x v="3"/>
    <x v="2"/>
    <n v="51"/>
    <x v="0"/>
    <x v="0"/>
  </r>
  <r>
    <n v="18935"/>
    <x v="0"/>
    <x v="0"/>
    <n v="130000"/>
    <x v="3"/>
    <x v="4"/>
    <x v="4"/>
    <x v="0"/>
    <x v="4"/>
    <x v="3"/>
    <x v="2"/>
    <n v="40"/>
    <x v="0"/>
    <x v="0"/>
  </r>
  <r>
    <n v="16871"/>
    <x v="0"/>
    <x v="0"/>
    <n v="90000"/>
    <x v="4"/>
    <x v="2"/>
    <x v="2"/>
    <x v="0"/>
    <x v="1"/>
    <x v="4"/>
    <x v="2"/>
    <n v="51"/>
    <x v="0"/>
    <x v="1"/>
  </r>
  <r>
    <n v="12100"/>
    <x v="1"/>
    <x v="1"/>
    <n v="60000"/>
    <x v="4"/>
    <x v="0"/>
    <x v="4"/>
    <x v="0"/>
    <x v="0"/>
    <x v="4"/>
    <x v="2"/>
    <n v="57"/>
    <x v="1"/>
    <x v="0"/>
  </r>
  <r>
    <n v="23158"/>
    <x v="0"/>
    <x v="0"/>
    <n v="60000"/>
    <x v="0"/>
    <x v="4"/>
    <x v="2"/>
    <x v="1"/>
    <x v="0"/>
    <x v="0"/>
    <x v="2"/>
    <n v="35"/>
    <x v="0"/>
    <x v="1"/>
  </r>
  <r>
    <n v="18545"/>
    <x v="0"/>
    <x v="1"/>
    <n v="40000"/>
    <x v="5"/>
    <x v="2"/>
    <x v="2"/>
    <x v="1"/>
    <x v="2"/>
    <x v="4"/>
    <x v="2"/>
    <n v="61"/>
    <x v="1"/>
    <x v="1"/>
  </r>
  <r>
    <n v="18391"/>
    <x v="1"/>
    <x v="0"/>
    <n v="80000"/>
    <x v="2"/>
    <x v="1"/>
    <x v="2"/>
    <x v="0"/>
    <x v="2"/>
    <x v="2"/>
    <x v="2"/>
    <n v="44"/>
    <x v="0"/>
    <x v="0"/>
  </r>
  <r>
    <n v="19812"/>
    <x v="1"/>
    <x v="0"/>
    <n v="70000"/>
    <x v="4"/>
    <x v="1"/>
    <x v="2"/>
    <x v="0"/>
    <x v="0"/>
    <x v="2"/>
    <x v="2"/>
    <n v="49"/>
    <x v="0"/>
    <x v="1"/>
  </r>
  <r>
    <n v="27660"/>
    <x v="0"/>
    <x v="1"/>
    <n v="80000"/>
    <x v="5"/>
    <x v="4"/>
    <x v="4"/>
    <x v="0"/>
    <x v="2"/>
    <x v="2"/>
    <x v="2"/>
    <n v="70"/>
    <x v="1"/>
    <x v="0"/>
  </r>
  <r>
    <n v="18058"/>
    <x v="1"/>
    <x v="0"/>
    <n v="20000"/>
    <x v="1"/>
    <x v="2"/>
    <x v="0"/>
    <x v="0"/>
    <x v="2"/>
    <x v="1"/>
    <x v="2"/>
    <n v="78"/>
    <x v="1"/>
    <x v="0"/>
  </r>
  <r>
    <n v="20343"/>
    <x v="0"/>
    <x v="0"/>
    <n v="90000"/>
    <x v="5"/>
    <x v="1"/>
    <x v="2"/>
    <x v="0"/>
    <x v="1"/>
    <x v="3"/>
    <x v="2"/>
    <n v="45"/>
    <x v="0"/>
    <x v="0"/>
  </r>
  <r>
    <n v="28997"/>
    <x v="1"/>
    <x v="1"/>
    <n v="40000"/>
    <x v="4"/>
    <x v="2"/>
    <x v="2"/>
    <x v="1"/>
    <x v="1"/>
    <x v="1"/>
    <x v="2"/>
    <n v="58"/>
    <x v="1"/>
    <x v="1"/>
  </r>
  <r>
    <n v="24398"/>
    <x v="0"/>
    <x v="1"/>
    <n v="130000"/>
    <x v="0"/>
    <x v="4"/>
    <x v="4"/>
    <x v="0"/>
    <x v="3"/>
    <x v="0"/>
    <x v="2"/>
    <n v="41"/>
    <x v="0"/>
    <x v="0"/>
  </r>
  <r>
    <n v="19002"/>
    <x v="0"/>
    <x v="0"/>
    <n v="60000"/>
    <x v="4"/>
    <x v="1"/>
    <x v="2"/>
    <x v="0"/>
    <x v="1"/>
    <x v="1"/>
    <x v="2"/>
    <n v="57"/>
    <x v="1"/>
    <x v="1"/>
  </r>
  <r>
    <n v="28609"/>
    <x v="0"/>
    <x v="1"/>
    <n v="30000"/>
    <x v="4"/>
    <x v="2"/>
    <x v="0"/>
    <x v="1"/>
    <x v="2"/>
    <x v="0"/>
    <x v="2"/>
    <n v="49"/>
    <x v="0"/>
    <x v="0"/>
  </r>
  <r>
    <n v="29231"/>
    <x v="1"/>
    <x v="1"/>
    <n v="80000"/>
    <x v="5"/>
    <x v="1"/>
    <x v="2"/>
    <x v="1"/>
    <x v="2"/>
    <x v="0"/>
    <x v="2"/>
    <n v="43"/>
    <x v="0"/>
    <x v="0"/>
  </r>
  <r>
    <n v="18858"/>
    <x v="1"/>
    <x v="1"/>
    <n v="60000"/>
    <x v="4"/>
    <x v="3"/>
    <x v="0"/>
    <x v="0"/>
    <x v="2"/>
    <x v="2"/>
    <x v="2"/>
    <n v="52"/>
    <x v="0"/>
    <x v="1"/>
  </r>
  <r>
    <n v="20000"/>
    <x v="0"/>
    <x v="1"/>
    <n v="60000"/>
    <x v="0"/>
    <x v="4"/>
    <x v="2"/>
    <x v="0"/>
    <x v="0"/>
    <x v="0"/>
    <x v="2"/>
    <n v="35"/>
    <x v="0"/>
    <x v="1"/>
  </r>
  <r>
    <n v="25261"/>
    <x v="0"/>
    <x v="1"/>
    <n v="40000"/>
    <x v="3"/>
    <x v="2"/>
    <x v="0"/>
    <x v="0"/>
    <x v="2"/>
    <x v="2"/>
    <x v="2"/>
    <n v="27"/>
    <x v="2"/>
    <x v="0"/>
  </r>
  <r>
    <n v="17458"/>
    <x v="1"/>
    <x v="1"/>
    <n v="70000"/>
    <x v="1"/>
    <x v="2"/>
    <x v="2"/>
    <x v="0"/>
    <x v="0"/>
    <x v="2"/>
    <x v="2"/>
    <n v="52"/>
    <x v="0"/>
    <x v="1"/>
  </r>
  <r>
    <n v="11644"/>
    <x v="1"/>
    <x v="1"/>
    <n v="40000"/>
    <x v="4"/>
    <x v="0"/>
    <x v="0"/>
    <x v="0"/>
    <x v="0"/>
    <x v="1"/>
    <x v="2"/>
    <n v="36"/>
    <x v="0"/>
    <x v="0"/>
  </r>
  <r>
    <n v="16145"/>
    <x v="1"/>
    <x v="0"/>
    <n v="70000"/>
    <x v="2"/>
    <x v="4"/>
    <x v="2"/>
    <x v="0"/>
    <x v="4"/>
    <x v="4"/>
    <x v="2"/>
    <n v="46"/>
    <x v="0"/>
    <x v="1"/>
  </r>
  <r>
    <n v="16890"/>
    <x v="0"/>
    <x v="1"/>
    <n v="60000"/>
    <x v="1"/>
    <x v="3"/>
    <x v="0"/>
    <x v="0"/>
    <x v="2"/>
    <x v="2"/>
    <x v="2"/>
    <n v="52"/>
    <x v="0"/>
    <x v="1"/>
  </r>
  <r>
    <n v="25983"/>
    <x v="0"/>
    <x v="1"/>
    <n v="70000"/>
    <x v="3"/>
    <x v="0"/>
    <x v="2"/>
    <x v="1"/>
    <x v="1"/>
    <x v="0"/>
    <x v="2"/>
    <n v="43"/>
    <x v="0"/>
    <x v="0"/>
  </r>
  <r>
    <n v="14633"/>
    <x v="0"/>
    <x v="1"/>
    <n v="60000"/>
    <x v="0"/>
    <x v="1"/>
    <x v="0"/>
    <x v="0"/>
    <x v="1"/>
    <x v="1"/>
    <x v="2"/>
    <n v="44"/>
    <x v="0"/>
    <x v="0"/>
  </r>
  <r>
    <n v="22994"/>
    <x v="0"/>
    <x v="0"/>
    <n v="80000"/>
    <x v="3"/>
    <x v="0"/>
    <x v="4"/>
    <x v="0"/>
    <x v="1"/>
    <x v="3"/>
    <x v="2"/>
    <n v="34"/>
    <x v="0"/>
    <x v="1"/>
  </r>
  <r>
    <n v="22983"/>
    <x v="1"/>
    <x v="0"/>
    <n v="30000"/>
    <x v="3"/>
    <x v="3"/>
    <x v="1"/>
    <x v="0"/>
    <x v="2"/>
    <x v="2"/>
    <x v="2"/>
    <n v="27"/>
    <x v="2"/>
    <x v="0"/>
  </r>
  <r>
    <n v="25184"/>
    <x v="1"/>
    <x v="1"/>
    <n v="110000"/>
    <x v="0"/>
    <x v="1"/>
    <x v="2"/>
    <x v="0"/>
    <x v="3"/>
    <x v="2"/>
    <x v="2"/>
    <n v="45"/>
    <x v="0"/>
    <x v="1"/>
  </r>
  <r>
    <n v="14469"/>
    <x v="0"/>
    <x v="0"/>
    <n v="100000"/>
    <x v="1"/>
    <x v="1"/>
    <x v="2"/>
    <x v="0"/>
    <x v="3"/>
    <x v="3"/>
    <x v="2"/>
    <n v="45"/>
    <x v="0"/>
    <x v="0"/>
  </r>
  <r>
    <n v="11538"/>
    <x v="1"/>
    <x v="0"/>
    <n v="60000"/>
    <x v="5"/>
    <x v="4"/>
    <x v="0"/>
    <x v="1"/>
    <x v="0"/>
    <x v="0"/>
    <x v="2"/>
    <n v="47"/>
    <x v="0"/>
    <x v="1"/>
  </r>
  <r>
    <n v="16245"/>
    <x v="1"/>
    <x v="0"/>
    <n v="80000"/>
    <x v="5"/>
    <x v="4"/>
    <x v="0"/>
    <x v="0"/>
    <x v="0"/>
    <x v="3"/>
    <x v="2"/>
    <n v="47"/>
    <x v="0"/>
    <x v="0"/>
  </r>
  <r>
    <n v="17858"/>
    <x v="0"/>
    <x v="1"/>
    <n v="40000"/>
    <x v="5"/>
    <x v="2"/>
    <x v="0"/>
    <x v="0"/>
    <x v="2"/>
    <x v="1"/>
    <x v="2"/>
    <n v="44"/>
    <x v="0"/>
    <x v="1"/>
  </r>
  <r>
    <n v="25347"/>
    <x v="1"/>
    <x v="0"/>
    <n v="20000"/>
    <x v="1"/>
    <x v="3"/>
    <x v="1"/>
    <x v="1"/>
    <x v="2"/>
    <x v="0"/>
    <x v="2"/>
    <n v="49"/>
    <x v="0"/>
    <x v="0"/>
  </r>
  <r>
    <n v="15814"/>
    <x v="1"/>
    <x v="0"/>
    <n v="40000"/>
    <x v="3"/>
    <x v="2"/>
    <x v="0"/>
    <x v="0"/>
    <x v="1"/>
    <x v="2"/>
    <x v="2"/>
    <n v="30"/>
    <x v="2"/>
    <x v="0"/>
  </r>
  <r>
    <n v="11259"/>
    <x v="0"/>
    <x v="0"/>
    <n v="100000"/>
    <x v="5"/>
    <x v="1"/>
    <x v="2"/>
    <x v="0"/>
    <x v="3"/>
    <x v="1"/>
    <x v="2"/>
    <n v="41"/>
    <x v="0"/>
    <x v="1"/>
  </r>
  <r>
    <n v="11200"/>
    <x v="0"/>
    <x v="1"/>
    <n v="70000"/>
    <x v="5"/>
    <x v="0"/>
    <x v="4"/>
    <x v="0"/>
    <x v="1"/>
    <x v="3"/>
    <x v="2"/>
    <n v="58"/>
    <x v="1"/>
    <x v="0"/>
  </r>
  <r>
    <n v="25101"/>
    <x v="0"/>
    <x v="1"/>
    <n v="60000"/>
    <x v="2"/>
    <x v="0"/>
    <x v="2"/>
    <x v="0"/>
    <x v="1"/>
    <x v="1"/>
    <x v="2"/>
    <n v="47"/>
    <x v="0"/>
    <x v="0"/>
  </r>
  <r>
    <n v="21801"/>
    <x v="0"/>
    <x v="0"/>
    <n v="70000"/>
    <x v="5"/>
    <x v="1"/>
    <x v="2"/>
    <x v="0"/>
    <x v="1"/>
    <x v="3"/>
    <x v="2"/>
    <n v="55"/>
    <x v="0"/>
    <x v="0"/>
  </r>
  <r>
    <n v="25943"/>
    <x v="1"/>
    <x v="0"/>
    <n v="70000"/>
    <x v="3"/>
    <x v="1"/>
    <x v="0"/>
    <x v="1"/>
    <x v="2"/>
    <x v="0"/>
    <x v="2"/>
    <n v="27"/>
    <x v="2"/>
    <x v="1"/>
  </r>
  <r>
    <n v="22127"/>
    <x v="0"/>
    <x v="1"/>
    <n v="60000"/>
    <x v="1"/>
    <x v="4"/>
    <x v="4"/>
    <x v="0"/>
    <x v="2"/>
    <x v="3"/>
    <x v="2"/>
    <n v="67"/>
    <x v="1"/>
    <x v="0"/>
  </r>
  <r>
    <n v="20414"/>
    <x v="0"/>
    <x v="0"/>
    <n v="60000"/>
    <x v="3"/>
    <x v="1"/>
    <x v="0"/>
    <x v="0"/>
    <x v="2"/>
    <x v="2"/>
    <x v="2"/>
    <n v="29"/>
    <x v="2"/>
    <x v="0"/>
  </r>
  <r>
    <n v="23672"/>
    <x v="0"/>
    <x v="0"/>
    <n v="60000"/>
    <x v="1"/>
    <x v="4"/>
    <x v="4"/>
    <x v="0"/>
    <x v="2"/>
    <x v="3"/>
    <x v="2"/>
    <n v="67"/>
    <x v="1"/>
    <x v="0"/>
  </r>
  <r>
    <n v="29255"/>
    <x v="1"/>
    <x v="1"/>
    <n v="80000"/>
    <x v="1"/>
    <x v="1"/>
    <x v="2"/>
    <x v="1"/>
    <x v="1"/>
    <x v="3"/>
    <x v="2"/>
    <n v="51"/>
    <x v="0"/>
    <x v="1"/>
  </r>
  <r>
    <n v="28815"/>
    <x v="0"/>
    <x v="0"/>
    <n v="50000"/>
    <x v="0"/>
    <x v="4"/>
    <x v="0"/>
    <x v="0"/>
    <x v="0"/>
    <x v="0"/>
    <x v="2"/>
    <n v="35"/>
    <x v="0"/>
    <x v="0"/>
  </r>
  <r>
    <n v="27753"/>
    <x v="0"/>
    <x v="1"/>
    <n v="40000"/>
    <x v="3"/>
    <x v="2"/>
    <x v="0"/>
    <x v="1"/>
    <x v="2"/>
    <x v="3"/>
    <x v="2"/>
    <n v="30"/>
    <x v="2"/>
    <x v="0"/>
  </r>
  <r>
    <n v="27643"/>
    <x v="1"/>
    <x v="1"/>
    <n v="70000"/>
    <x v="2"/>
    <x v="1"/>
    <x v="2"/>
    <x v="0"/>
    <x v="4"/>
    <x v="1"/>
    <x v="2"/>
    <n v="44"/>
    <x v="0"/>
    <x v="0"/>
  </r>
  <r>
    <n v="13754"/>
    <x v="1"/>
    <x v="0"/>
    <n v="80000"/>
    <x v="5"/>
    <x v="4"/>
    <x v="0"/>
    <x v="0"/>
    <x v="0"/>
    <x v="3"/>
    <x v="2"/>
    <n v="48"/>
    <x v="0"/>
    <x v="0"/>
  </r>
  <r>
    <n v="22088"/>
    <x v="0"/>
    <x v="0"/>
    <n v="130000"/>
    <x v="0"/>
    <x v="0"/>
    <x v="4"/>
    <x v="0"/>
    <x v="2"/>
    <x v="0"/>
    <x v="2"/>
    <n v="45"/>
    <x v="0"/>
    <x v="1"/>
  </r>
  <r>
    <n v="27388"/>
    <x v="0"/>
    <x v="1"/>
    <n v="60000"/>
    <x v="1"/>
    <x v="0"/>
    <x v="4"/>
    <x v="1"/>
    <x v="2"/>
    <x v="3"/>
    <x v="2"/>
    <n v="66"/>
    <x v="1"/>
    <x v="0"/>
  </r>
  <r>
    <n v="24745"/>
    <x v="1"/>
    <x v="0"/>
    <n v="30000"/>
    <x v="4"/>
    <x v="2"/>
    <x v="0"/>
    <x v="1"/>
    <x v="2"/>
    <x v="0"/>
    <x v="2"/>
    <n v="49"/>
    <x v="0"/>
    <x v="0"/>
  </r>
  <r>
    <n v="29237"/>
    <x v="1"/>
    <x v="0"/>
    <n v="120000"/>
    <x v="5"/>
    <x v="1"/>
    <x v="2"/>
    <x v="0"/>
    <x v="4"/>
    <x v="2"/>
    <x v="2"/>
    <n v="43"/>
    <x v="0"/>
    <x v="1"/>
  </r>
  <r>
    <n v="15272"/>
    <x v="1"/>
    <x v="1"/>
    <n v="40000"/>
    <x v="3"/>
    <x v="2"/>
    <x v="0"/>
    <x v="1"/>
    <x v="2"/>
    <x v="3"/>
    <x v="2"/>
    <n v="30"/>
    <x v="2"/>
    <x v="0"/>
  </r>
  <r>
    <n v="18949"/>
    <x v="1"/>
    <x v="1"/>
    <n v="70000"/>
    <x v="3"/>
    <x v="4"/>
    <x v="4"/>
    <x v="0"/>
    <x v="2"/>
    <x v="2"/>
    <x v="2"/>
    <n v="74"/>
    <x v="1"/>
    <x v="1"/>
  </r>
  <r>
    <n v="14507"/>
    <x v="0"/>
    <x v="1"/>
    <n v="100000"/>
    <x v="4"/>
    <x v="4"/>
    <x v="4"/>
    <x v="0"/>
    <x v="4"/>
    <x v="3"/>
    <x v="2"/>
    <n v="65"/>
    <x v="1"/>
    <x v="0"/>
  </r>
  <r>
    <n v="25886"/>
    <x v="0"/>
    <x v="0"/>
    <n v="60000"/>
    <x v="4"/>
    <x v="1"/>
    <x v="2"/>
    <x v="0"/>
    <x v="2"/>
    <x v="1"/>
    <x v="2"/>
    <n v="56"/>
    <x v="1"/>
    <x v="1"/>
  </r>
  <r>
    <n v="21441"/>
    <x v="0"/>
    <x v="1"/>
    <n v="50000"/>
    <x v="5"/>
    <x v="0"/>
    <x v="4"/>
    <x v="0"/>
    <x v="2"/>
    <x v="4"/>
    <x v="2"/>
    <n v="64"/>
    <x v="1"/>
    <x v="0"/>
  </r>
  <r>
    <n v="21741"/>
    <x v="0"/>
    <x v="0"/>
    <n v="70000"/>
    <x v="1"/>
    <x v="1"/>
    <x v="2"/>
    <x v="0"/>
    <x v="2"/>
    <x v="2"/>
    <x v="2"/>
    <n v="50"/>
    <x v="0"/>
    <x v="1"/>
  </r>
  <r>
    <n v="14572"/>
    <x v="0"/>
    <x v="0"/>
    <n v="70000"/>
    <x v="1"/>
    <x v="4"/>
    <x v="2"/>
    <x v="0"/>
    <x v="0"/>
    <x v="1"/>
    <x v="2"/>
    <n v="35"/>
    <x v="0"/>
    <x v="1"/>
  </r>
  <r>
    <n v="23368"/>
    <x v="0"/>
    <x v="0"/>
    <n v="60000"/>
    <x v="2"/>
    <x v="0"/>
    <x v="0"/>
    <x v="0"/>
    <x v="4"/>
    <x v="4"/>
    <x v="2"/>
    <n v="41"/>
    <x v="0"/>
    <x v="0"/>
  </r>
  <r>
    <n v="16217"/>
    <x v="1"/>
    <x v="0"/>
    <n v="60000"/>
    <x v="3"/>
    <x v="4"/>
    <x v="0"/>
    <x v="0"/>
    <x v="0"/>
    <x v="0"/>
    <x v="2"/>
    <n v="39"/>
    <x v="0"/>
    <x v="0"/>
  </r>
  <r>
    <n v="16247"/>
    <x v="1"/>
    <x v="0"/>
    <n v="60000"/>
    <x v="5"/>
    <x v="4"/>
    <x v="0"/>
    <x v="1"/>
    <x v="0"/>
    <x v="3"/>
    <x v="2"/>
    <n v="47"/>
    <x v="0"/>
    <x v="0"/>
  </r>
  <r>
    <n v="22010"/>
    <x v="1"/>
    <x v="1"/>
    <n v="40000"/>
    <x v="3"/>
    <x v="2"/>
    <x v="0"/>
    <x v="0"/>
    <x v="2"/>
    <x v="2"/>
    <x v="2"/>
    <n v="31"/>
    <x v="0"/>
    <x v="0"/>
  </r>
  <r>
    <n v="25872"/>
    <x v="1"/>
    <x v="0"/>
    <n v="70000"/>
    <x v="4"/>
    <x v="0"/>
    <x v="4"/>
    <x v="1"/>
    <x v="1"/>
    <x v="1"/>
    <x v="2"/>
    <n v="58"/>
    <x v="1"/>
    <x v="1"/>
  </r>
  <r>
    <n v="19164"/>
    <x v="1"/>
    <x v="0"/>
    <n v="70000"/>
    <x v="3"/>
    <x v="0"/>
    <x v="2"/>
    <x v="1"/>
    <x v="1"/>
    <x v="1"/>
    <x v="2"/>
    <n v="38"/>
    <x v="0"/>
    <x v="1"/>
  </r>
  <r>
    <n v="18435"/>
    <x v="1"/>
    <x v="0"/>
    <n v="70000"/>
    <x v="2"/>
    <x v="4"/>
    <x v="4"/>
    <x v="0"/>
    <x v="2"/>
    <x v="4"/>
    <x v="2"/>
    <n v="67"/>
    <x v="1"/>
    <x v="1"/>
  </r>
  <r>
    <n v="14284"/>
    <x v="1"/>
    <x v="1"/>
    <n v="60000"/>
    <x v="3"/>
    <x v="1"/>
    <x v="2"/>
    <x v="1"/>
    <x v="2"/>
    <x v="3"/>
    <x v="2"/>
    <n v="32"/>
    <x v="0"/>
    <x v="1"/>
  </r>
  <r>
    <n v="11287"/>
    <x v="0"/>
    <x v="1"/>
    <n v="70000"/>
    <x v="2"/>
    <x v="1"/>
    <x v="2"/>
    <x v="1"/>
    <x v="4"/>
    <x v="2"/>
    <x v="2"/>
    <n v="45"/>
    <x v="0"/>
    <x v="0"/>
  </r>
  <r>
    <n v="13066"/>
    <x v="1"/>
    <x v="1"/>
    <n v="30000"/>
    <x v="3"/>
    <x v="2"/>
    <x v="0"/>
    <x v="1"/>
    <x v="2"/>
    <x v="3"/>
    <x v="2"/>
    <n v="31"/>
    <x v="0"/>
    <x v="1"/>
  </r>
  <r>
    <n v="29106"/>
    <x v="1"/>
    <x v="1"/>
    <n v="40000"/>
    <x v="3"/>
    <x v="2"/>
    <x v="0"/>
    <x v="1"/>
    <x v="2"/>
    <x v="3"/>
    <x v="2"/>
    <n v="31"/>
    <x v="0"/>
    <x v="1"/>
  </r>
  <r>
    <n v="26236"/>
    <x v="0"/>
    <x v="0"/>
    <n v="40000"/>
    <x v="1"/>
    <x v="1"/>
    <x v="1"/>
    <x v="0"/>
    <x v="1"/>
    <x v="0"/>
    <x v="2"/>
    <n v="31"/>
    <x v="0"/>
    <x v="0"/>
  </r>
  <r>
    <n v="17531"/>
    <x v="0"/>
    <x v="1"/>
    <n v="60000"/>
    <x v="4"/>
    <x v="2"/>
    <x v="2"/>
    <x v="1"/>
    <x v="2"/>
    <x v="2"/>
    <x v="2"/>
    <n v="50"/>
    <x v="0"/>
    <x v="0"/>
  </r>
  <r>
    <n v="12964"/>
    <x v="0"/>
    <x v="1"/>
    <n v="70000"/>
    <x v="0"/>
    <x v="1"/>
    <x v="0"/>
    <x v="0"/>
    <x v="1"/>
    <x v="0"/>
    <x v="2"/>
    <n v="44"/>
    <x v="0"/>
    <x v="0"/>
  </r>
  <r>
    <n v="19133"/>
    <x v="1"/>
    <x v="1"/>
    <n v="50000"/>
    <x v="4"/>
    <x v="0"/>
    <x v="0"/>
    <x v="0"/>
    <x v="1"/>
    <x v="1"/>
    <x v="2"/>
    <n v="38"/>
    <x v="0"/>
    <x v="1"/>
  </r>
  <r>
    <n v="24643"/>
    <x v="1"/>
    <x v="0"/>
    <n v="60000"/>
    <x v="5"/>
    <x v="0"/>
    <x v="4"/>
    <x v="0"/>
    <x v="2"/>
    <x v="4"/>
    <x v="2"/>
    <n v="63"/>
    <x v="1"/>
    <x v="0"/>
  </r>
  <r>
    <n v="21599"/>
    <x v="0"/>
    <x v="0"/>
    <n v="60000"/>
    <x v="0"/>
    <x v="4"/>
    <x v="2"/>
    <x v="0"/>
    <x v="0"/>
    <x v="1"/>
    <x v="2"/>
    <n v="36"/>
    <x v="0"/>
    <x v="1"/>
  </r>
  <r>
    <n v="22976"/>
    <x v="1"/>
    <x v="1"/>
    <n v="40000"/>
    <x v="3"/>
    <x v="2"/>
    <x v="0"/>
    <x v="1"/>
    <x v="2"/>
    <x v="0"/>
    <x v="2"/>
    <n v="28"/>
    <x v="2"/>
    <x v="1"/>
  </r>
  <r>
    <n v="27637"/>
    <x v="1"/>
    <x v="0"/>
    <n v="100000"/>
    <x v="0"/>
    <x v="1"/>
    <x v="2"/>
    <x v="1"/>
    <x v="4"/>
    <x v="3"/>
    <x v="2"/>
    <n v="44"/>
    <x v="0"/>
    <x v="0"/>
  </r>
  <r>
    <n v="11890"/>
    <x v="0"/>
    <x v="0"/>
    <n v="70000"/>
    <x v="2"/>
    <x v="4"/>
    <x v="2"/>
    <x v="0"/>
    <x v="1"/>
    <x v="0"/>
    <x v="2"/>
    <n v="47"/>
    <x v="0"/>
    <x v="0"/>
  </r>
  <r>
    <n v="28580"/>
    <x v="0"/>
    <x v="0"/>
    <n v="80000"/>
    <x v="3"/>
    <x v="4"/>
    <x v="0"/>
    <x v="0"/>
    <x v="0"/>
    <x v="3"/>
    <x v="2"/>
    <n v="40"/>
    <x v="0"/>
    <x v="1"/>
  </r>
  <r>
    <n v="14443"/>
    <x v="0"/>
    <x v="1"/>
    <n v="130000"/>
    <x v="0"/>
    <x v="4"/>
    <x v="4"/>
    <x v="0"/>
    <x v="3"/>
    <x v="0"/>
    <x v="2"/>
    <n v="40"/>
    <x v="0"/>
    <x v="0"/>
  </r>
  <r>
    <n v="17864"/>
    <x v="0"/>
    <x v="0"/>
    <n v="60000"/>
    <x v="0"/>
    <x v="1"/>
    <x v="0"/>
    <x v="0"/>
    <x v="1"/>
    <x v="1"/>
    <x v="2"/>
    <n v="46"/>
    <x v="0"/>
    <x v="1"/>
  </r>
  <r>
    <n v="20505"/>
    <x v="0"/>
    <x v="0"/>
    <n v="40000"/>
    <x v="2"/>
    <x v="2"/>
    <x v="2"/>
    <x v="1"/>
    <x v="2"/>
    <x v="4"/>
    <x v="2"/>
    <n v="61"/>
    <x v="1"/>
    <x v="0"/>
  </r>
  <r>
    <n v="14592"/>
    <x v="0"/>
    <x v="0"/>
    <n v="60000"/>
    <x v="3"/>
    <x v="4"/>
    <x v="2"/>
    <x v="0"/>
    <x v="0"/>
    <x v="0"/>
    <x v="2"/>
    <n v="40"/>
    <x v="0"/>
    <x v="0"/>
  </r>
  <r>
    <n v="22227"/>
    <x v="0"/>
    <x v="0"/>
    <n v="60000"/>
    <x v="4"/>
    <x v="2"/>
    <x v="2"/>
    <x v="0"/>
    <x v="2"/>
    <x v="2"/>
    <x v="2"/>
    <n v="50"/>
    <x v="0"/>
    <x v="0"/>
  </r>
  <r>
    <n v="21471"/>
    <x v="0"/>
    <x v="1"/>
    <n v="70000"/>
    <x v="4"/>
    <x v="1"/>
    <x v="2"/>
    <x v="0"/>
    <x v="1"/>
    <x v="4"/>
    <x v="2"/>
    <n v="59"/>
    <x v="1"/>
    <x v="0"/>
  </r>
  <r>
    <n v="22252"/>
    <x v="1"/>
    <x v="0"/>
    <n v="60000"/>
    <x v="0"/>
    <x v="4"/>
    <x v="2"/>
    <x v="0"/>
    <x v="0"/>
    <x v="1"/>
    <x v="2"/>
    <n v="36"/>
    <x v="0"/>
    <x v="1"/>
  </r>
  <r>
    <n v="21260"/>
    <x v="1"/>
    <x v="0"/>
    <n v="40000"/>
    <x v="3"/>
    <x v="2"/>
    <x v="0"/>
    <x v="0"/>
    <x v="2"/>
    <x v="2"/>
    <x v="2"/>
    <n v="30"/>
    <x v="2"/>
    <x v="0"/>
  </r>
  <r>
    <n v="11817"/>
    <x v="1"/>
    <x v="0"/>
    <n v="70000"/>
    <x v="5"/>
    <x v="4"/>
    <x v="2"/>
    <x v="0"/>
    <x v="0"/>
    <x v="1"/>
    <x v="2"/>
    <n v="35"/>
    <x v="0"/>
    <x v="1"/>
  </r>
  <r>
    <n v="19223"/>
    <x v="0"/>
    <x v="0"/>
    <n v="30000"/>
    <x v="4"/>
    <x v="2"/>
    <x v="0"/>
    <x v="0"/>
    <x v="2"/>
    <x v="3"/>
    <x v="2"/>
    <n v="48"/>
    <x v="0"/>
    <x v="0"/>
  </r>
  <r>
    <n v="18517"/>
    <x v="0"/>
    <x v="1"/>
    <n v="100000"/>
    <x v="1"/>
    <x v="0"/>
    <x v="4"/>
    <x v="0"/>
    <x v="3"/>
    <x v="0"/>
    <x v="2"/>
    <n v="41"/>
    <x v="0"/>
    <x v="0"/>
  </r>
  <r>
    <n v="21717"/>
    <x v="0"/>
    <x v="1"/>
    <n v="40000"/>
    <x v="4"/>
    <x v="1"/>
    <x v="1"/>
    <x v="0"/>
    <x v="1"/>
    <x v="0"/>
    <x v="2"/>
    <n v="47"/>
    <x v="0"/>
    <x v="0"/>
  </r>
  <r>
    <n v="13760"/>
    <x v="0"/>
    <x v="1"/>
    <n v="60000"/>
    <x v="5"/>
    <x v="4"/>
    <x v="0"/>
    <x v="1"/>
    <x v="0"/>
    <x v="0"/>
    <x v="2"/>
    <n v="47"/>
    <x v="0"/>
    <x v="0"/>
  </r>
  <r>
    <n v="18145"/>
    <x v="0"/>
    <x v="1"/>
    <n v="80000"/>
    <x v="2"/>
    <x v="0"/>
    <x v="4"/>
    <x v="1"/>
    <x v="2"/>
    <x v="1"/>
    <x v="0"/>
    <n v="62"/>
    <x v="1"/>
    <x v="0"/>
  </r>
  <r>
    <n v="21770"/>
    <x v="0"/>
    <x v="1"/>
    <n v="60000"/>
    <x v="5"/>
    <x v="0"/>
    <x v="4"/>
    <x v="0"/>
    <x v="2"/>
    <x v="4"/>
    <x v="2"/>
    <n v="60"/>
    <x v="1"/>
    <x v="0"/>
  </r>
  <r>
    <n v="11165"/>
    <x v="0"/>
    <x v="0"/>
    <n v="60000"/>
    <x v="3"/>
    <x v="1"/>
    <x v="0"/>
    <x v="1"/>
    <x v="1"/>
    <x v="3"/>
    <x v="2"/>
    <n v="33"/>
    <x v="0"/>
    <x v="0"/>
  </r>
  <r>
    <n v="16377"/>
    <x v="1"/>
    <x v="0"/>
    <n v="80000"/>
    <x v="5"/>
    <x v="4"/>
    <x v="0"/>
    <x v="1"/>
    <x v="0"/>
    <x v="0"/>
    <x v="2"/>
    <n v="47"/>
    <x v="0"/>
    <x v="0"/>
  </r>
  <r>
    <n v="26248"/>
    <x v="0"/>
    <x v="1"/>
    <n v="20000"/>
    <x v="1"/>
    <x v="3"/>
    <x v="1"/>
    <x v="1"/>
    <x v="2"/>
    <x v="0"/>
    <x v="2"/>
    <n v="52"/>
    <x v="0"/>
    <x v="0"/>
  </r>
  <r>
    <n v="23461"/>
    <x v="0"/>
    <x v="0"/>
    <n v="90000"/>
    <x v="2"/>
    <x v="1"/>
    <x v="2"/>
    <x v="0"/>
    <x v="4"/>
    <x v="1"/>
    <x v="2"/>
    <n v="40"/>
    <x v="0"/>
    <x v="0"/>
  </r>
  <r>
    <n v="29133"/>
    <x v="1"/>
    <x v="0"/>
    <n v="60000"/>
    <x v="5"/>
    <x v="0"/>
    <x v="0"/>
    <x v="1"/>
    <x v="2"/>
    <x v="0"/>
    <x v="2"/>
    <n v="42"/>
    <x v="0"/>
    <x v="0"/>
  </r>
  <r>
    <n v="27673"/>
    <x v="1"/>
    <x v="0"/>
    <n v="60000"/>
    <x v="1"/>
    <x v="4"/>
    <x v="4"/>
    <x v="0"/>
    <x v="2"/>
    <x v="2"/>
    <x v="2"/>
    <n v="53"/>
    <x v="0"/>
    <x v="1"/>
  </r>
  <r>
    <n v="12774"/>
    <x v="0"/>
    <x v="0"/>
    <n v="40000"/>
    <x v="0"/>
    <x v="1"/>
    <x v="1"/>
    <x v="0"/>
    <x v="1"/>
    <x v="3"/>
    <x v="2"/>
    <n v="51"/>
    <x v="0"/>
    <x v="1"/>
  </r>
  <r>
    <n v="18910"/>
    <x v="1"/>
    <x v="1"/>
    <n v="30000"/>
    <x v="3"/>
    <x v="1"/>
    <x v="0"/>
    <x v="0"/>
    <x v="2"/>
    <x v="2"/>
    <x v="2"/>
    <n v="30"/>
    <x v="2"/>
    <x v="0"/>
  </r>
  <r>
    <n v="11699"/>
    <x v="1"/>
    <x v="1"/>
    <n v="60000"/>
    <x v="3"/>
    <x v="0"/>
    <x v="0"/>
    <x v="1"/>
    <x v="2"/>
    <x v="0"/>
    <x v="2"/>
    <n v="30"/>
    <x v="2"/>
    <x v="0"/>
  </r>
  <r>
    <n v="16725"/>
    <x v="0"/>
    <x v="1"/>
    <n v="30000"/>
    <x v="3"/>
    <x v="2"/>
    <x v="0"/>
    <x v="0"/>
    <x v="2"/>
    <x v="2"/>
    <x v="2"/>
    <n v="26"/>
    <x v="2"/>
    <x v="0"/>
  </r>
  <r>
    <n v="28269"/>
    <x v="1"/>
    <x v="0"/>
    <n v="130000"/>
    <x v="0"/>
    <x v="0"/>
    <x v="4"/>
    <x v="1"/>
    <x v="1"/>
    <x v="1"/>
    <x v="2"/>
    <n v="45"/>
    <x v="0"/>
    <x v="0"/>
  </r>
  <r>
    <n v="23144"/>
    <x v="0"/>
    <x v="1"/>
    <n v="50000"/>
    <x v="0"/>
    <x v="0"/>
    <x v="0"/>
    <x v="0"/>
    <x v="0"/>
    <x v="0"/>
    <x v="2"/>
    <n v="34"/>
    <x v="0"/>
    <x v="1"/>
  </r>
  <r>
    <n v="23376"/>
    <x v="0"/>
    <x v="1"/>
    <n v="70000"/>
    <x v="0"/>
    <x v="0"/>
    <x v="2"/>
    <x v="0"/>
    <x v="1"/>
    <x v="1"/>
    <x v="2"/>
    <n v="44"/>
    <x v="0"/>
    <x v="1"/>
  </r>
  <r>
    <n v="25970"/>
    <x v="1"/>
    <x v="0"/>
    <n v="60000"/>
    <x v="5"/>
    <x v="0"/>
    <x v="0"/>
    <x v="1"/>
    <x v="2"/>
    <x v="0"/>
    <x v="2"/>
    <n v="41"/>
    <x v="0"/>
    <x v="1"/>
  </r>
  <r>
    <n v="28068"/>
    <x v="1"/>
    <x v="0"/>
    <n v="80000"/>
    <x v="1"/>
    <x v="4"/>
    <x v="2"/>
    <x v="1"/>
    <x v="0"/>
    <x v="0"/>
    <x v="2"/>
    <n v="36"/>
    <x v="0"/>
    <x v="1"/>
  </r>
  <r>
    <n v="18390"/>
    <x v="0"/>
    <x v="1"/>
    <n v="80000"/>
    <x v="2"/>
    <x v="1"/>
    <x v="2"/>
    <x v="0"/>
    <x v="2"/>
    <x v="0"/>
    <x v="2"/>
    <n v="44"/>
    <x v="0"/>
    <x v="0"/>
  </r>
  <r>
    <n v="29112"/>
    <x v="1"/>
    <x v="1"/>
    <n v="60000"/>
    <x v="3"/>
    <x v="1"/>
    <x v="2"/>
    <x v="1"/>
    <x v="2"/>
    <x v="3"/>
    <x v="2"/>
    <n v="30"/>
    <x v="2"/>
    <x v="0"/>
  </r>
  <r>
    <n v="14090"/>
    <x v="0"/>
    <x v="0"/>
    <n v="30000"/>
    <x v="3"/>
    <x v="3"/>
    <x v="1"/>
    <x v="1"/>
    <x v="2"/>
    <x v="0"/>
    <x v="2"/>
    <n v="28"/>
    <x v="2"/>
    <x v="0"/>
  </r>
  <r>
    <n v="27040"/>
    <x v="0"/>
    <x v="1"/>
    <n v="20000"/>
    <x v="4"/>
    <x v="3"/>
    <x v="1"/>
    <x v="0"/>
    <x v="2"/>
    <x v="3"/>
    <x v="2"/>
    <n v="49"/>
    <x v="0"/>
    <x v="0"/>
  </r>
  <r>
    <n v="23479"/>
    <x v="1"/>
    <x v="1"/>
    <n v="90000"/>
    <x v="3"/>
    <x v="1"/>
    <x v="2"/>
    <x v="1"/>
    <x v="2"/>
    <x v="0"/>
    <x v="2"/>
    <n v="43"/>
    <x v="0"/>
    <x v="1"/>
  </r>
  <r>
    <n v="16795"/>
    <x v="0"/>
    <x v="0"/>
    <n v="70000"/>
    <x v="5"/>
    <x v="0"/>
    <x v="4"/>
    <x v="0"/>
    <x v="1"/>
    <x v="3"/>
    <x v="2"/>
    <n v="59"/>
    <x v="1"/>
    <x v="0"/>
  </r>
  <r>
    <n v="22014"/>
    <x v="1"/>
    <x v="1"/>
    <n v="30000"/>
    <x v="3"/>
    <x v="2"/>
    <x v="0"/>
    <x v="0"/>
    <x v="2"/>
    <x v="2"/>
    <x v="2"/>
    <n v="26"/>
    <x v="2"/>
    <x v="0"/>
  </r>
  <r>
    <n v="13314"/>
    <x v="0"/>
    <x v="1"/>
    <n v="120000"/>
    <x v="0"/>
    <x v="2"/>
    <x v="2"/>
    <x v="0"/>
    <x v="3"/>
    <x v="2"/>
    <x v="2"/>
    <n v="46"/>
    <x v="0"/>
    <x v="1"/>
  </r>
  <r>
    <n v="11619"/>
    <x v="1"/>
    <x v="0"/>
    <n v="50000"/>
    <x v="3"/>
    <x v="4"/>
    <x v="0"/>
    <x v="0"/>
    <x v="0"/>
    <x v="3"/>
    <x v="2"/>
    <n v="33"/>
    <x v="0"/>
    <x v="0"/>
  </r>
  <r>
    <n v="29132"/>
    <x v="1"/>
    <x v="0"/>
    <n v="40000"/>
    <x v="3"/>
    <x v="0"/>
    <x v="2"/>
    <x v="0"/>
    <x v="1"/>
    <x v="1"/>
    <x v="2"/>
    <n v="42"/>
    <x v="0"/>
    <x v="1"/>
  </r>
  <r>
    <n v="11199"/>
    <x v="0"/>
    <x v="0"/>
    <n v="70000"/>
    <x v="5"/>
    <x v="0"/>
    <x v="4"/>
    <x v="0"/>
    <x v="1"/>
    <x v="4"/>
    <x v="2"/>
    <n v="59"/>
    <x v="1"/>
    <x v="0"/>
  </r>
  <r>
    <n v="20296"/>
    <x v="1"/>
    <x v="0"/>
    <n v="60000"/>
    <x v="3"/>
    <x v="1"/>
    <x v="0"/>
    <x v="1"/>
    <x v="1"/>
    <x v="3"/>
    <x v="2"/>
    <n v="33"/>
    <x v="0"/>
    <x v="1"/>
  </r>
  <r>
    <n v="17546"/>
    <x v="0"/>
    <x v="0"/>
    <n v="70000"/>
    <x v="0"/>
    <x v="1"/>
    <x v="0"/>
    <x v="0"/>
    <x v="1"/>
    <x v="0"/>
    <x v="2"/>
    <n v="44"/>
    <x v="0"/>
    <x v="1"/>
  </r>
  <r>
    <n v="18069"/>
    <x v="0"/>
    <x v="1"/>
    <n v="70000"/>
    <x v="2"/>
    <x v="0"/>
    <x v="4"/>
    <x v="0"/>
    <x v="3"/>
    <x v="4"/>
    <x v="2"/>
    <n v="60"/>
    <x v="1"/>
    <x v="0"/>
  </r>
  <r>
    <n v="23712"/>
    <x v="1"/>
    <x v="0"/>
    <n v="70000"/>
    <x v="4"/>
    <x v="0"/>
    <x v="4"/>
    <x v="0"/>
    <x v="1"/>
    <x v="4"/>
    <x v="2"/>
    <n v="59"/>
    <x v="1"/>
    <x v="0"/>
  </r>
  <r>
    <n v="23358"/>
    <x v="0"/>
    <x v="1"/>
    <n v="60000"/>
    <x v="3"/>
    <x v="2"/>
    <x v="2"/>
    <x v="0"/>
    <x v="2"/>
    <x v="2"/>
    <x v="2"/>
    <n v="32"/>
    <x v="0"/>
    <x v="1"/>
  </r>
  <r>
    <n v="20518"/>
    <x v="0"/>
    <x v="0"/>
    <n v="70000"/>
    <x v="4"/>
    <x v="1"/>
    <x v="2"/>
    <x v="0"/>
    <x v="1"/>
    <x v="4"/>
    <x v="2"/>
    <n v="58"/>
    <x v="1"/>
    <x v="0"/>
  </r>
  <r>
    <n v="28026"/>
    <x v="0"/>
    <x v="0"/>
    <n v="40000"/>
    <x v="4"/>
    <x v="2"/>
    <x v="2"/>
    <x v="1"/>
    <x v="2"/>
    <x v="1"/>
    <x v="2"/>
    <n v="59"/>
    <x v="1"/>
    <x v="0"/>
  </r>
  <r>
    <n v="11669"/>
    <x v="1"/>
    <x v="0"/>
    <n v="70000"/>
    <x v="4"/>
    <x v="0"/>
    <x v="0"/>
    <x v="0"/>
    <x v="1"/>
    <x v="1"/>
    <x v="2"/>
    <n v="38"/>
    <x v="0"/>
    <x v="0"/>
  </r>
  <r>
    <n v="16020"/>
    <x v="0"/>
    <x v="1"/>
    <n v="40000"/>
    <x v="3"/>
    <x v="2"/>
    <x v="0"/>
    <x v="0"/>
    <x v="2"/>
    <x v="2"/>
    <x v="2"/>
    <n v="28"/>
    <x v="2"/>
    <x v="1"/>
  </r>
  <r>
    <n v="27090"/>
    <x v="0"/>
    <x v="0"/>
    <n v="60000"/>
    <x v="0"/>
    <x v="4"/>
    <x v="2"/>
    <x v="0"/>
    <x v="0"/>
    <x v="1"/>
    <x v="2"/>
    <n v="37"/>
    <x v="0"/>
    <x v="1"/>
  </r>
  <r>
    <n v="27198"/>
    <x v="1"/>
    <x v="0"/>
    <n v="80000"/>
    <x v="3"/>
    <x v="4"/>
    <x v="0"/>
    <x v="1"/>
    <x v="0"/>
    <x v="0"/>
    <x v="2"/>
    <n v="40"/>
    <x v="0"/>
    <x v="0"/>
  </r>
  <r>
    <n v="19661"/>
    <x v="1"/>
    <x v="1"/>
    <n v="90000"/>
    <x v="5"/>
    <x v="0"/>
    <x v="4"/>
    <x v="0"/>
    <x v="1"/>
    <x v="3"/>
    <x v="2"/>
    <n v="38"/>
    <x v="0"/>
    <x v="1"/>
  </r>
  <r>
    <n v="26327"/>
    <x v="0"/>
    <x v="1"/>
    <n v="70000"/>
    <x v="5"/>
    <x v="4"/>
    <x v="2"/>
    <x v="0"/>
    <x v="0"/>
    <x v="1"/>
    <x v="2"/>
    <n v="36"/>
    <x v="0"/>
    <x v="1"/>
  </r>
  <r>
    <n v="26341"/>
    <x v="0"/>
    <x v="0"/>
    <n v="70000"/>
    <x v="2"/>
    <x v="4"/>
    <x v="2"/>
    <x v="0"/>
    <x v="2"/>
    <x v="0"/>
    <x v="2"/>
    <n v="37"/>
    <x v="0"/>
    <x v="0"/>
  </r>
  <r>
    <n v="24958"/>
    <x v="1"/>
    <x v="0"/>
    <n v="40000"/>
    <x v="2"/>
    <x v="2"/>
    <x v="2"/>
    <x v="1"/>
    <x v="4"/>
    <x v="1"/>
    <x v="2"/>
    <n v="60"/>
    <x v="1"/>
    <x v="1"/>
  </r>
  <r>
    <n v="13287"/>
    <x v="1"/>
    <x v="1"/>
    <n v="110000"/>
    <x v="5"/>
    <x v="0"/>
    <x v="4"/>
    <x v="0"/>
    <x v="3"/>
    <x v="2"/>
    <x v="2"/>
    <n v="42"/>
    <x v="0"/>
    <x v="1"/>
  </r>
  <r>
    <n v="14493"/>
    <x v="1"/>
    <x v="0"/>
    <n v="70000"/>
    <x v="1"/>
    <x v="4"/>
    <x v="4"/>
    <x v="1"/>
    <x v="2"/>
    <x v="3"/>
    <x v="2"/>
    <n v="53"/>
    <x v="0"/>
    <x v="0"/>
  </r>
  <r>
    <n v="26678"/>
    <x v="1"/>
    <x v="0"/>
    <n v="80000"/>
    <x v="4"/>
    <x v="3"/>
    <x v="0"/>
    <x v="0"/>
    <x v="2"/>
    <x v="2"/>
    <x v="2"/>
    <n v="49"/>
    <x v="0"/>
    <x v="0"/>
  </r>
  <r>
    <n v="23275"/>
    <x v="0"/>
    <x v="1"/>
    <n v="30000"/>
    <x v="4"/>
    <x v="2"/>
    <x v="0"/>
    <x v="0"/>
    <x v="2"/>
    <x v="3"/>
    <x v="2"/>
    <n v="49"/>
    <x v="0"/>
    <x v="0"/>
  </r>
  <r>
    <n v="11270"/>
    <x v="0"/>
    <x v="1"/>
    <n v="130000"/>
    <x v="4"/>
    <x v="4"/>
    <x v="4"/>
    <x v="0"/>
    <x v="4"/>
    <x v="0"/>
    <x v="2"/>
    <n v="42"/>
    <x v="0"/>
    <x v="1"/>
  </r>
  <r>
    <n v="20084"/>
    <x v="0"/>
    <x v="1"/>
    <n v="20000"/>
    <x v="4"/>
    <x v="2"/>
    <x v="3"/>
    <x v="1"/>
    <x v="2"/>
    <x v="0"/>
    <x v="2"/>
    <n v="53"/>
    <x v="0"/>
    <x v="0"/>
  </r>
  <r>
    <n v="16144"/>
    <x v="0"/>
    <x v="1"/>
    <n v="70000"/>
    <x v="0"/>
    <x v="4"/>
    <x v="2"/>
    <x v="0"/>
    <x v="1"/>
    <x v="0"/>
    <x v="2"/>
    <n v="46"/>
    <x v="0"/>
    <x v="1"/>
  </r>
  <r>
    <n v="27731"/>
    <x v="0"/>
    <x v="1"/>
    <n v="40000"/>
    <x v="3"/>
    <x v="2"/>
    <x v="0"/>
    <x v="0"/>
    <x v="2"/>
    <x v="2"/>
    <x v="2"/>
    <n v="27"/>
    <x v="2"/>
    <x v="0"/>
  </r>
  <r>
    <n v="11886"/>
    <x v="0"/>
    <x v="0"/>
    <n v="60000"/>
    <x v="1"/>
    <x v="0"/>
    <x v="2"/>
    <x v="0"/>
    <x v="1"/>
    <x v="0"/>
    <x v="2"/>
    <n v="48"/>
    <x v="0"/>
    <x v="1"/>
  </r>
  <r>
    <n v="24324"/>
    <x v="1"/>
    <x v="0"/>
    <n v="60000"/>
    <x v="5"/>
    <x v="0"/>
    <x v="0"/>
    <x v="0"/>
    <x v="2"/>
    <x v="1"/>
    <x v="2"/>
    <n v="41"/>
    <x v="0"/>
    <x v="1"/>
  </r>
  <r>
    <n v="22220"/>
    <x v="0"/>
    <x v="1"/>
    <n v="60000"/>
    <x v="4"/>
    <x v="2"/>
    <x v="2"/>
    <x v="1"/>
    <x v="2"/>
    <x v="3"/>
    <x v="2"/>
    <n v="49"/>
    <x v="0"/>
    <x v="1"/>
  </r>
  <r>
    <n v="26625"/>
    <x v="1"/>
    <x v="0"/>
    <n v="60000"/>
    <x v="3"/>
    <x v="4"/>
    <x v="2"/>
    <x v="0"/>
    <x v="1"/>
    <x v="1"/>
    <x v="2"/>
    <n v="38"/>
    <x v="0"/>
    <x v="1"/>
  </r>
  <r>
    <n v="23027"/>
    <x v="1"/>
    <x v="1"/>
    <n v="130000"/>
    <x v="0"/>
    <x v="0"/>
    <x v="4"/>
    <x v="1"/>
    <x v="3"/>
    <x v="0"/>
    <x v="2"/>
    <n v="44"/>
    <x v="0"/>
    <x v="0"/>
  </r>
  <r>
    <n v="16867"/>
    <x v="1"/>
    <x v="0"/>
    <n v="130000"/>
    <x v="0"/>
    <x v="0"/>
    <x v="4"/>
    <x v="1"/>
    <x v="4"/>
    <x v="0"/>
    <x v="2"/>
    <n v="45"/>
    <x v="0"/>
    <x v="1"/>
  </r>
  <r>
    <n v="14514"/>
    <x v="1"/>
    <x v="0"/>
    <n v="30000"/>
    <x v="3"/>
    <x v="1"/>
    <x v="0"/>
    <x v="0"/>
    <x v="1"/>
    <x v="2"/>
    <x v="2"/>
    <n v="26"/>
    <x v="2"/>
    <x v="0"/>
  </r>
  <r>
    <n v="19634"/>
    <x v="0"/>
    <x v="1"/>
    <n v="40000"/>
    <x v="3"/>
    <x v="2"/>
    <x v="0"/>
    <x v="0"/>
    <x v="1"/>
    <x v="2"/>
    <x v="2"/>
    <n v="31"/>
    <x v="0"/>
    <x v="0"/>
  </r>
  <r>
    <n v="18504"/>
    <x v="0"/>
    <x v="1"/>
    <n v="70000"/>
    <x v="4"/>
    <x v="3"/>
    <x v="0"/>
    <x v="1"/>
    <x v="2"/>
    <x v="3"/>
    <x v="2"/>
    <n v="49"/>
    <x v="0"/>
    <x v="0"/>
  </r>
  <r>
    <n v="28799"/>
    <x v="1"/>
    <x v="0"/>
    <n v="40000"/>
    <x v="4"/>
    <x v="1"/>
    <x v="1"/>
    <x v="1"/>
    <x v="1"/>
    <x v="3"/>
    <x v="2"/>
    <n v="47"/>
    <x v="0"/>
    <x v="1"/>
  </r>
  <r>
    <n v="11225"/>
    <x v="0"/>
    <x v="0"/>
    <n v="60000"/>
    <x v="4"/>
    <x v="1"/>
    <x v="2"/>
    <x v="0"/>
    <x v="1"/>
    <x v="4"/>
    <x v="2"/>
    <n v="55"/>
    <x v="0"/>
    <x v="0"/>
  </r>
  <r>
    <n v="17657"/>
    <x v="0"/>
    <x v="1"/>
    <n v="40000"/>
    <x v="5"/>
    <x v="1"/>
    <x v="1"/>
    <x v="1"/>
    <x v="0"/>
    <x v="0"/>
    <x v="2"/>
    <n v="30"/>
    <x v="2"/>
    <x v="0"/>
  </r>
  <r>
    <n v="14913"/>
    <x v="0"/>
    <x v="0"/>
    <n v="40000"/>
    <x v="0"/>
    <x v="1"/>
    <x v="1"/>
    <x v="0"/>
    <x v="1"/>
    <x v="3"/>
    <x v="2"/>
    <n v="48"/>
    <x v="0"/>
    <x v="1"/>
  </r>
  <r>
    <n v="14077"/>
    <x v="1"/>
    <x v="1"/>
    <n v="30000"/>
    <x v="3"/>
    <x v="2"/>
    <x v="0"/>
    <x v="0"/>
    <x v="2"/>
    <x v="2"/>
    <x v="2"/>
    <n v="30"/>
    <x v="2"/>
    <x v="0"/>
  </r>
  <r>
    <n v="13296"/>
    <x v="0"/>
    <x v="1"/>
    <n v="110000"/>
    <x v="0"/>
    <x v="0"/>
    <x v="4"/>
    <x v="0"/>
    <x v="4"/>
    <x v="2"/>
    <x v="2"/>
    <n v="45"/>
    <x v="0"/>
    <x v="0"/>
  </r>
  <r>
    <n v="20535"/>
    <x v="0"/>
    <x v="0"/>
    <n v="70000"/>
    <x v="5"/>
    <x v="1"/>
    <x v="2"/>
    <x v="0"/>
    <x v="1"/>
    <x v="4"/>
    <x v="2"/>
    <n v="56"/>
    <x v="1"/>
    <x v="0"/>
  </r>
  <r>
    <n v="12452"/>
    <x v="0"/>
    <x v="1"/>
    <n v="60000"/>
    <x v="5"/>
    <x v="4"/>
    <x v="0"/>
    <x v="0"/>
    <x v="0"/>
    <x v="3"/>
    <x v="2"/>
    <n v="47"/>
    <x v="0"/>
    <x v="1"/>
  </r>
  <r>
    <n v="28043"/>
    <x v="0"/>
    <x v="0"/>
    <n v="60000"/>
    <x v="4"/>
    <x v="0"/>
    <x v="4"/>
    <x v="0"/>
    <x v="0"/>
    <x v="4"/>
    <x v="2"/>
    <n v="56"/>
    <x v="1"/>
    <x v="0"/>
  </r>
  <r>
    <n v="12957"/>
    <x v="1"/>
    <x v="0"/>
    <n v="70000"/>
    <x v="0"/>
    <x v="0"/>
    <x v="2"/>
    <x v="1"/>
    <x v="1"/>
    <x v="0"/>
    <x v="2"/>
    <n v="44"/>
    <x v="0"/>
    <x v="0"/>
  </r>
  <r>
    <n v="15412"/>
    <x v="0"/>
    <x v="1"/>
    <n v="130000"/>
    <x v="4"/>
    <x v="4"/>
    <x v="4"/>
    <x v="0"/>
    <x v="4"/>
    <x v="1"/>
    <x v="2"/>
    <n v="69"/>
    <x v="1"/>
    <x v="0"/>
  </r>
  <r>
    <n v="20514"/>
    <x v="0"/>
    <x v="0"/>
    <n v="70000"/>
    <x v="4"/>
    <x v="1"/>
    <x v="2"/>
    <x v="0"/>
    <x v="1"/>
    <x v="1"/>
    <x v="2"/>
    <n v="59"/>
    <x v="1"/>
    <x v="0"/>
  </r>
  <r>
    <n v="20758"/>
    <x v="0"/>
    <x v="1"/>
    <n v="30000"/>
    <x v="4"/>
    <x v="2"/>
    <x v="0"/>
    <x v="0"/>
    <x v="2"/>
    <x v="3"/>
    <x v="2"/>
    <n v="50"/>
    <x v="0"/>
    <x v="0"/>
  </r>
  <r>
    <n v="11801"/>
    <x v="0"/>
    <x v="1"/>
    <n v="60000"/>
    <x v="0"/>
    <x v="4"/>
    <x v="2"/>
    <x v="0"/>
    <x v="0"/>
    <x v="1"/>
    <x v="2"/>
    <n v="36"/>
    <x v="0"/>
    <x v="0"/>
  </r>
  <r>
    <n v="22211"/>
    <x v="0"/>
    <x v="1"/>
    <n v="60000"/>
    <x v="3"/>
    <x v="1"/>
    <x v="2"/>
    <x v="0"/>
    <x v="2"/>
    <x v="2"/>
    <x v="2"/>
    <n v="32"/>
    <x v="0"/>
    <x v="0"/>
  </r>
  <r>
    <n v="28087"/>
    <x v="1"/>
    <x v="0"/>
    <n v="40000"/>
    <x v="3"/>
    <x v="1"/>
    <x v="0"/>
    <x v="1"/>
    <x v="1"/>
    <x v="3"/>
    <x v="2"/>
    <n v="27"/>
    <x v="2"/>
    <x v="0"/>
  </r>
  <r>
    <n v="23668"/>
    <x v="0"/>
    <x v="0"/>
    <n v="40000"/>
    <x v="5"/>
    <x v="2"/>
    <x v="2"/>
    <x v="0"/>
    <x v="2"/>
    <x v="2"/>
    <x v="2"/>
    <n v="59"/>
    <x v="1"/>
    <x v="1"/>
  </r>
  <r>
    <n v="27441"/>
    <x v="0"/>
    <x v="1"/>
    <n v="60000"/>
    <x v="1"/>
    <x v="2"/>
    <x v="2"/>
    <x v="1"/>
    <x v="2"/>
    <x v="1"/>
    <x v="2"/>
    <n v="53"/>
    <x v="0"/>
    <x v="0"/>
  </r>
  <r>
    <n v="27261"/>
    <x v="0"/>
    <x v="1"/>
    <n v="40000"/>
    <x v="0"/>
    <x v="0"/>
    <x v="0"/>
    <x v="1"/>
    <x v="1"/>
    <x v="0"/>
    <x v="2"/>
    <n v="36"/>
    <x v="0"/>
    <x v="1"/>
  </r>
  <r>
    <n v="18649"/>
    <x v="1"/>
    <x v="1"/>
    <n v="30000"/>
    <x v="0"/>
    <x v="2"/>
    <x v="1"/>
    <x v="0"/>
    <x v="2"/>
    <x v="3"/>
    <x v="2"/>
    <n v="51"/>
    <x v="0"/>
    <x v="1"/>
  </r>
  <r>
    <n v="21714"/>
    <x v="1"/>
    <x v="0"/>
    <n v="80000"/>
    <x v="2"/>
    <x v="4"/>
    <x v="0"/>
    <x v="1"/>
    <x v="0"/>
    <x v="0"/>
    <x v="2"/>
    <n v="47"/>
    <x v="0"/>
    <x v="0"/>
  </r>
  <r>
    <n v="23217"/>
    <x v="1"/>
    <x v="0"/>
    <n v="60000"/>
    <x v="1"/>
    <x v="4"/>
    <x v="2"/>
    <x v="0"/>
    <x v="0"/>
    <x v="1"/>
    <x v="2"/>
    <n v="43"/>
    <x v="0"/>
    <x v="1"/>
  </r>
  <r>
    <n v="23797"/>
    <x v="1"/>
    <x v="1"/>
    <n v="20000"/>
    <x v="1"/>
    <x v="3"/>
    <x v="1"/>
    <x v="1"/>
    <x v="2"/>
    <x v="0"/>
    <x v="2"/>
    <n v="50"/>
    <x v="0"/>
    <x v="0"/>
  </r>
  <r>
    <n v="13216"/>
    <x v="0"/>
    <x v="0"/>
    <n v="60000"/>
    <x v="2"/>
    <x v="0"/>
    <x v="4"/>
    <x v="0"/>
    <x v="4"/>
    <x v="4"/>
    <x v="2"/>
    <n v="59"/>
    <x v="1"/>
    <x v="0"/>
  </r>
  <r>
    <n v="20657"/>
    <x v="1"/>
    <x v="1"/>
    <n v="50000"/>
    <x v="4"/>
    <x v="0"/>
    <x v="0"/>
    <x v="0"/>
    <x v="0"/>
    <x v="1"/>
    <x v="2"/>
    <n v="37"/>
    <x v="0"/>
    <x v="1"/>
  </r>
  <r>
    <n v="12882"/>
    <x v="0"/>
    <x v="1"/>
    <n v="50000"/>
    <x v="0"/>
    <x v="4"/>
    <x v="0"/>
    <x v="0"/>
    <x v="0"/>
    <x v="0"/>
    <x v="2"/>
    <n v="33"/>
    <x v="0"/>
    <x v="1"/>
  </r>
  <r>
    <n v="25908"/>
    <x v="0"/>
    <x v="0"/>
    <n v="60000"/>
    <x v="3"/>
    <x v="1"/>
    <x v="0"/>
    <x v="1"/>
    <x v="1"/>
    <x v="3"/>
    <x v="2"/>
    <n v="27"/>
    <x v="2"/>
    <x v="0"/>
  </r>
  <r>
    <n v="16753"/>
    <x v="1"/>
    <x v="0"/>
    <n v="70000"/>
    <x v="3"/>
    <x v="1"/>
    <x v="0"/>
    <x v="0"/>
    <x v="2"/>
    <x v="2"/>
    <x v="2"/>
    <n v="34"/>
    <x v="0"/>
    <x v="1"/>
  </r>
  <r>
    <n v="14608"/>
    <x v="0"/>
    <x v="1"/>
    <n v="50000"/>
    <x v="5"/>
    <x v="0"/>
    <x v="0"/>
    <x v="0"/>
    <x v="4"/>
    <x v="4"/>
    <x v="2"/>
    <n v="42"/>
    <x v="0"/>
    <x v="0"/>
  </r>
  <r>
    <n v="24979"/>
    <x v="0"/>
    <x v="0"/>
    <n v="60000"/>
    <x v="4"/>
    <x v="1"/>
    <x v="2"/>
    <x v="0"/>
    <x v="2"/>
    <x v="1"/>
    <x v="2"/>
    <n v="57"/>
    <x v="1"/>
    <x v="1"/>
  </r>
  <r>
    <n v="13313"/>
    <x v="0"/>
    <x v="0"/>
    <n v="120000"/>
    <x v="0"/>
    <x v="2"/>
    <x v="2"/>
    <x v="1"/>
    <x v="3"/>
    <x v="1"/>
    <x v="2"/>
    <n v="45"/>
    <x v="0"/>
    <x v="0"/>
  </r>
  <r>
    <n v="18952"/>
    <x v="0"/>
    <x v="0"/>
    <n v="100000"/>
    <x v="5"/>
    <x v="0"/>
    <x v="4"/>
    <x v="0"/>
    <x v="3"/>
    <x v="0"/>
    <x v="2"/>
    <n v="40"/>
    <x v="0"/>
    <x v="0"/>
  </r>
  <r>
    <n v="17699"/>
    <x v="0"/>
    <x v="1"/>
    <n v="60000"/>
    <x v="0"/>
    <x v="4"/>
    <x v="0"/>
    <x v="1"/>
    <x v="0"/>
    <x v="0"/>
    <x v="2"/>
    <n v="55"/>
    <x v="0"/>
    <x v="0"/>
  </r>
  <r>
    <n v="14657"/>
    <x v="0"/>
    <x v="1"/>
    <n v="80000"/>
    <x v="0"/>
    <x v="1"/>
    <x v="0"/>
    <x v="1"/>
    <x v="1"/>
    <x v="0"/>
    <x v="2"/>
    <n v="47"/>
    <x v="0"/>
    <x v="1"/>
  </r>
  <r>
    <n v="11540"/>
    <x v="1"/>
    <x v="1"/>
    <n v="60000"/>
    <x v="5"/>
    <x v="4"/>
    <x v="0"/>
    <x v="0"/>
    <x v="0"/>
    <x v="3"/>
    <x v="2"/>
    <n v="47"/>
    <x v="0"/>
    <x v="1"/>
  </r>
  <r>
    <n v="11783"/>
    <x v="0"/>
    <x v="0"/>
    <n v="60000"/>
    <x v="0"/>
    <x v="4"/>
    <x v="0"/>
    <x v="0"/>
    <x v="0"/>
    <x v="0"/>
    <x v="2"/>
    <n v="34"/>
    <x v="0"/>
    <x v="0"/>
  </r>
  <r>
    <n v="14602"/>
    <x v="0"/>
    <x v="0"/>
    <n v="80000"/>
    <x v="1"/>
    <x v="4"/>
    <x v="2"/>
    <x v="0"/>
    <x v="0"/>
    <x v="0"/>
    <x v="2"/>
    <n v="36"/>
    <x v="0"/>
    <x v="1"/>
  </r>
  <r>
    <n v="29030"/>
    <x v="0"/>
    <x v="1"/>
    <n v="70000"/>
    <x v="4"/>
    <x v="3"/>
    <x v="0"/>
    <x v="0"/>
    <x v="2"/>
    <x v="4"/>
    <x v="2"/>
    <n v="54"/>
    <x v="0"/>
    <x v="0"/>
  </r>
  <r>
    <n v="26490"/>
    <x v="1"/>
    <x v="1"/>
    <n v="70000"/>
    <x v="4"/>
    <x v="0"/>
    <x v="4"/>
    <x v="1"/>
    <x v="1"/>
    <x v="1"/>
    <x v="2"/>
    <n v="59"/>
    <x v="1"/>
    <x v="1"/>
  </r>
  <r>
    <n v="13151"/>
    <x v="1"/>
    <x v="1"/>
    <n v="40000"/>
    <x v="3"/>
    <x v="2"/>
    <x v="0"/>
    <x v="0"/>
    <x v="2"/>
    <x v="2"/>
    <x v="2"/>
    <n v="27"/>
    <x v="2"/>
    <x v="0"/>
  </r>
  <r>
    <n v="17260"/>
    <x v="0"/>
    <x v="1"/>
    <n v="90000"/>
    <x v="2"/>
    <x v="1"/>
    <x v="2"/>
    <x v="0"/>
    <x v="4"/>
    <x v="0"/>
    <x v="2"/>
    <n v="41"/>
    <x v="0"/>
    <x v="0"/>
  </r>
  <r>
    <n v="15372"/>
    <x v="0"/>
    <x v="1"/>
    <n v="80000"/>
    <x v="1"/>
    <x v="1"/>
    <x v="2"/>
    <x v="1"/>
    <x v="2"/>
    <x v="1"/>
    <x v="2"/>
    <n v="50"/>
    <x v="0"/>
    <x v="1"/>
  </r>
  <r>
    <n v="18105"/>
    <x v="0"/>
    <x v="0"/>
    <n v="60000"/>
    <x v="4"/>
    <x v="1"/>
    <x v="2"/>
    <x v="0"/>
    <x v="1"/>
    <x v="4"/>
    <x v="2"/>
    <n v="55"/>
    <x v="0"/>
    <x v="0"/>
  </r>
  <r>
    <n v="19660"/>
    <x v="0"/>
    <x v="1"/>
    <n v="80000"/>
    <x v="5"/>
    <x v="0"/>
    <x v="4"/>
    <x v="0"/>
    <x v="0"/>
    <x v="0"/>
    <x v="2"/>
    <n v="43"/>
    <x v="0"/>
    <x v="0"/>
  </r>
  <r>
    <n v="16112"/>
    <x v="1"/>
    <x v="1"/>
    <n v="70000"/>
    <x v="5"/>
    <x v="0"/>
    <x v="2"/>
    <x v="0"/>
    <x v="2"/>
    <x v="1"/>
    <x v="2"/>
    <n v="43"/>
    <x v="0"/>
    <x v="1"/>
  </r>
  <r>
    <n v="20698"/>
    <x v="0"/>
    <x v="1"/>
    <n v="60000"/>
    <x v="5"/>
    <x v="0"/>
    <x v="0"/>
    <x v="0"/>
    <x v="4"/>
    <x v="2"/>
    <x v="2"/>
    <n v="42"/>
    <x v="0"/>
    <x v="0"/>
  </r>
  <r>
    <n v="20076"/>
    <x v="1"/>
    <x v="0"/>
    <n v="10000"/>
    <x v="4"/>
    <x v="2"/>
    <x v="3"/>
    <x v="0"/>
    <x v="2"/>
    <x v="3"/>
    <x v="2"/>
    <n v="53"/>
    <x v="0"/>
    <x v="1"/>
  </r>
  <r>
    <n v="24496"/>
    <x v="1"/>
    <x v="0"/>
    <n v="40000"/>
    <x v="3"/>
    <x v="2"/>
    <x v="0"/>
    <x v="1"/>
    <x v="2"/>
    <x v="0"/>
    <x v="2"/>
    <n v="28"/>
    <x v="2"/>
    <x v="1"/>
  </r>
  <r>
    <n v="15468"/>
    <x v="0"/>
    <x v="0"/>
    <n v="50000"/>
    <x v="0"/>
    <x v="0"/>
    <x v="0"/>
    <x v="0"/>
    <x v="1"/>
    <x v="0"/>
    <x v="2"/>
    <n v="35"/>
    <x v="0"/>
    <x v="0"/>
  </r>
  <r>
    <n v="28031"/>
    <x v="1"/>
    <x v="0"/>
    <n v="70000"/>
    <x v="4"/>
    <x v="0"/>
    <x v="4"/>
    <x v="1"/>
    <x v="1"/>
    <x v="1"/>
    <x v="2"/>
    <n v="59"/>
    <x v="1"/>
    <x v="1"/>
  </r>
  <r>
    <n v="26270"/>
    <x v="1"/>
    <x v="0"/>
    <n v="20000"/>
    <x v="4"/>
    <x v="3"/>
    <x v="1"/>
    <x v="0"/>
    <x v="2"/>
    <x v="3"/>
    <x v="2"/>
    <n v="49"/>
    <x v="0"/>
    <x v="0"/>
  </r>
  <r>
    <n v="22221"/>
    <x v="0"/>
    <x v="1"/>
    <n v="60000"/>
    <x v="4"/>
    <x v="2"/>
    <x v="2"/>
    <x v="1"/>
    <x v="2"/>
    <x v="3"/>
    <x v="2"/>
    <n v="48"/>
    <x v="0"/>
    <x v="1"/>
  </r>
  <r>
    <n v="28228"/>
    <x v="1"/>
    <x v="0"/>
    <n v="80000"/>
    <x v="4"/>
    <x v="3"/>
    <x v="0"/>
    <x v="1"/>
    <x v="2"/>
    <x v="3"/>
    <x v="2"/>
    <n v="50"/>
    <x v="0"/>
    <x v="0"/>
  </r>
  <r>
    <n v="18363"/>
    <x v="0"/>
    <x v="1"/>
    <n v="40000"/>
    <x v="3"/>
    <x v="2"/>
    <x v="0"/>
    <x v="0"/>
    <x v="2"/>
    <x v="2"/>
    <x v="2"/>
    <n v="28"/>
    <x v="2"/>
    <x v="1"/>
  </r>
  <r>
    <n v="23256"/>
    <x v="1"/>
    <x v="1"/>
    <n v="30000"/>
    <x v="0"/>
    <x v="2"/>
    <x v="1"/>
    <x v="1"/>
    <x v="1"/>
    <x v="2"/>
    <x v="2"/>
    <n v="52"/>
    <x v="0"/>
    <x v="0"/>
  </r>
  <r>
    <n v="12768"/>
    <x v="0"/>
    <x v="1"/>
    <n v="30000"/>
    <x v="0"/>
    <x v="2"/>
    <x v="1"/>
    <x v="0"/>
    <x v="1"/>
    <x v="1"/>
    <x v="2"/>
    <n v="52"/>
    <x v="0"/>
    <x v="1"/>
  </r>
  <r>
    <n v="20361"/>
    <x v="0"/>
    <x v="1"/>
    <n v="50000"/>
    <x v="4"/>
    <x v="4"/>
    <x v="4"/>
    <x v="0"/>
    <x v="2"/>
    <x v="2"/>
    <x v="2"/>
    <n v="69"/>
    <x v="1"/>
    <x v="0"/>
  </r>
  <r>
    <n v="21306"/>
    <x v="1"/>
    <x v="1"/>
    <n v="60000"/>
    <x v="4"/>
    <x v="2"/>
    <x v="2"/>
    <x v="0"/>
    <x v="2"/>
    <x v="2"/>
    <x v="2"/>
    <n v="51"/>
    <x v="0"/>
    <x v="0"/>
  </r>
  <r>
    <n v="13382"/>
    <x v="0"/>
    <x v="1"/>
    <n v="70000"/>
    <x v="2"/>
    <x v="1"/>
    <x v="2"/>
    <x v="0"/>
    <x v="2"/>
    <x v="3"/>
    <x v="2"/>
    <n v="57"/>
    <x v="1"/>
    <x v="1"/>
  </r>
  <r>
    <n v="20310"/>
    <x v="1"/>
    <x v="1"/>
    <n v="60000"/>
    <x v="3"/>
    <x v="1"/>
    <x v="0"/>
    <x v="0"/>
    <x v="1"/>
    <x v="2"/>
    <x v="2"/>
    <n v="27"/>
    <x v="2"/>
    <x v="1"/>
  </r>
  <r>
    <n v="22971"/>
    <x v="1"/>
    <x v="0"/>
    <n v="30000"/>
    <x v="3"/>
    <x v="2"/>
    <x v="0"/>
    <x v="1"/>
    <x v="2"/>
    <x v="0"/>
    <x v="2"/>
    <n v="25"/>
    <x v="2"/>
    <x v="1"/>
  </r>
  <r>
    <n v="15287"/>
    <x v="1"/>
    <x v="0"/>
    <n v="50000"/>
    <x v="0"/>
    <x v="4"/>
    <x v="0"/>
    <x v="0"/>
    <x v="0"/>
    <x v="3"/>
    <x v="2"/>
    <n v="33"/>
    <x v="0"/>
    <x v="1"/>
  </r>
  <r>
    <n v="15532"/>
    <x v="1"/>
    <x v="1"/>
    <n v="60000"/>
    <x v="5"/>
    <x v="0"/>
    <x v="2"/>
    <x v="0"/>
    <x v="2"/>
    <x v="1"/>
    <x v="2"/>
    <n v="43"/>
    <x v="0"/>
    <x v="1"/>
  </r>
  <r>
    <n v="11255"/>
    <x v="0"/>
    <x v="1"/>
    <n v="70000"/>
    <x v="5"/>
    <x v="4"/>
    <x v="4"/>
    <x v="0"/>
    <x v="2"/>
    <x v="2"/>
    <x v="2"/>
    <n v="73"/>
    <x v="1"/>
    <x v="0"/>
  </r>
  <r>
    <n v="28090"/>
    <x v="0"/>
    <x v="1"/>
    <n v="40000"/>
    <x v="3"/>
    <x v="1"/>
    <x v="0"/>
    <x v="0"/>
    <x v="1"/>
    <x v="2"/>
    <x v="2"/>
    <n v="27"/>
    <x v="2"/>
    <x v="0"/>
  </r>
  <r>
    <n v="15255"/>
    <x v="0"/>
    <x v="1"/>
    <n v="40000"/>
    <x v="3"/>
    <x v="2"/>
    <x v="0"/>
    <x v="0"/>
    <x v="2"/>
    <x v="2"/>
    <x v="2"/>
    <n v="28"/>
    <x v="2"/>
    <x v="1"/>
  </r>
  <r>
    <n v="13154"/>
    <x v="0"/>
    <x v="1"/>
    <n v="40000"/>
    <x v="3"/>
    <x v="2"/>
    <x v="0"/>
    <x v="1"/>
    <x v="2"/>
    <x v="0"/>
    <x v="2"/>
    <n v="27"/>
    <x v="2"/>
    <x v="1"/>
  </r>
  <r>
    <n v="26778"/>
    <x v="1"/>
    <x v="0"/>
    <n v="40000"/>
    <x v="3"/>
    <x v="2"/>
    <x v="0"/>
    <x v="0"/>
    <x v="2"/>
    <x v="2"/>
    <x v="2"/>
    <n v="31"/>
    <x v="0"/>
    <x v="0"/>
  </r>
  <r>
    <n v="23248"/>
    <x v="0"/>
    <x v="0"/>
    <n v="10000"/>
    <x v="4"/>
    <x v="2"/>
    <x v="3"/>
    <x v="0"/>
    <x v="2"/>
    <x v="3"/>
    <x v="2"/>
    <n v="53"/>
    <x v="0"/>
    <x v="0"/>
  </r>
  <r>
    <n v="21417"/>
    <x v="1"/>
    <x v="0"/>
    <n v="60000"/>
    <x v="3"/>
    <x v="1"/>
    <x v="2"/>
    <x v="1"/>
    <x v="2"/>
    <x v="3"/>
    <x v="2"/>
    <n v="32"/>
    <x v="0"/>
    <x v="1"/>
  </r>
  <r>
    <n v="17668"/>
    <x v="1"/>
    <x v="1"/>
    <n v="30000"/>
    <x v="4"/>
    <x v="2"/>
    <x v="0"/>
    <x v="0"/>
    <x v="2"/>
    <x v="3"/>
    <x v="2"/>
    <n v="50"/>
    <x v="0"/>
    <x v="1"/>
  </r>
  <r>
    <n v="27994"/>
    <x v="0"/>
    <x v="0"/>
    <n v="40000"/>
    <x v="5"/>
    <x v="2"/>
    <x v="2"/>
    <x v="0"/>
    <x v="2"/>
    <x v="2"/>
    <x v="2"/>
    <n v="69"/>
    <x v="1"/>
    <x v="0"/>
  </r>
  <r>
    <n v="20376"/>
    <x v="1"/>
    <x v="0"/>
    <n v="70000"/>
    <x v="1"/>
    <x v="4"/>
    <x v="4"/>
    <x v="0"/>
    <x v="2"/>
    <x v="2"/>
    <x v="2"/>
    <n v="52"/>
    <x v="0"/>
    <x v="1"/>
  </r>
  <r>
    <n v="25954"/>
    <x v="0"/>
    <x v="1"/>
    <n v="60000"/>
    <x v="3"/>
    <x v="1"/>
    <x v="0"/>
    <x v="1"/>
    <x v="2"/>
    <x v="3"/>
    <x v="2"/>
    <n v="31"/>
    <x v="0"/>
    <x v="0"/>
  </r>
  <r>
    <n v="15749"/>
    <x v="1"/>
    <x v="0"/>
    <n v="70000"/>
    <x v="5"/>
    <x v="0"/>
    <x v="4"/>
    <x v="0"/>
    <x v="2"/>
    <x v="4"/>
    <x v="2"/>
    <n v="61"/>
    <x v="1"/>
    <x v="0"/>
  </r>
  <r>
    <n v="25899"/>
    <x v="0"/>
    <x v="0"/>
    <n v="70000"/>
    <x v="4"/>
    <x v="2"/>
    <x v="2"/>
    <x v="0"/>
    <x v="2"/>
    <x v="4"/>
    <x v="2"/>
    <n v="53"/>
    <x v="0"/>
    <x v="0"/>
  </r>
  <r>
    <n v="13351"/>
    <x v="1"/>
    <x v="0"/>
    <n v="70000"/>
    <x v="5"/>
    <x v="0"/>
    <x v="4"/>
    <x v="0"/>
    <x v="2"/>
    <x v="3"/>
    <x v="2"/>
    <n v="62"/>
    <x v="1"/>
    <x v="1"/>
  </r>
  <r>
    <n v="23333"/>
    <x v="0"/>
    <x v="1"/>
    <n v="40000"/>
    <x v="3"/>
    <x v="1"/>
    <x v="0"/>
    <x v="1"/>
    <x v="2"/>
    <x v="3"/>
    <x v="2"/>
    <n v="30"/>
    <x v="2"/>
    <x v="0"/>
  </r>
  <r>
    <n v="21660"/>
    <x v="0"/>
    <x v="0"/>
    <n v="60000"/>
    <x v="1"/>
    <x v="4"/>
    <x v="2"/>
    <x v="0"/>
    <x v="0"/>
    <x v="1"/>
    <x v="2"/>
    <n v="43"/>
    <x v="0"/>
    <x v="1"/>
  </r>
  <r>
    <n v="17012"/>
    <x v="0"/>
    <x v="0"/>
    <n v="60000"/>
    <x v="1"/>
    <x v="4"/>
    <x v="2"/>
    <x v="0"/>
    <x v="0"/>
    <x v="1"/>
    <x v="2"/>
    <n v="42"/>
    <x v="0"/>
    <x v="1"/>
  </r>
  <r>
    <n v="24514"/>
    <x v="0"/>
    <x v="1"/>
    <n v="40000"/>
    <x v="3"/>
    <x v="1"/>
    <x v="0"/>
    <x v="0"/>
    <x v="1"/>
    <x v="2"/>
    <x v="2"/>
    <n v="30"/>
    <x v="2"/>
    <x v="0"/>
  </r>
  <r>
    <n v="27505"/>
    <x v="1"/>
    <x v="0"/>
    <n v="40000"/>
    <x v="3"/>
    <x v="2"/>
    <x v="0"/>
    <x v="0"/>
    <x v="2"/>
    <x v="2"/>
    <x v="2"/>
    <n v="30"/>
    <x v="2"/>
    <x v="0"/>
  </r>
  <r>
    <n v="29243"/>
    <x v="1"/>
    <x v="1"/>
    <n v="110000"/>
    <x v="0"/>
    <x v="0"/>
    <x v="4"/>
    <x v="0"/>
    <x v="1"/>
    <x v="2"/>
    <x v="2"/>
    <n v="43"/>
    <x v="0"/>
    <x v="0"/>
  </r>
  <r>
    <n v="26582"/>
    <x v="0"/>
    <x v="1"/>
    <n v="60000"/>
    <x v="3"/>
    <x v="1"/>
    <x v="0"/>
    <x v="0"/>
    <x v="2"/>
    <x v="2"/>
    <x v="2"/>
    <n v="33"/>
    <x v="0"/>
    <x v="1"/>
  </r>
  <r>
    <n v="14271"/>
    <x v="0"/>
    <x v="1"/>
    <n v="30000"/>
    <x v="3"/>
    <x v="2"/>
    <x v="0"/>
    <x v="0"/>
    <x v="2"/>
    <x v="2"/>
    <x v="2"/>
    <n v="32"/>
    <x v="0"/>
    <x v="0"/>
  </r>
  <r>
    <n v="23041"/>
    <x v="1"/>
    <x v="0"/>
    <n v="70000"/>
    <x v="5"/>
    <x v="2"/>
    <x v="2"/>
    <x v="0"/>
    <x v="0"/>
    <x v="2"/>
    <x v="2"/>
    <n v="50"/>
    <x v="0"/>
    <x v="1"/>
  </r>
  <r>
    <n v="29048"/>
    <x v="1"/>
    <x v="1"/>
    <n v="110000"/>
    <x v="4"/>
    <x v="0"/>
    <x v="4"/>
    <x v="1"/>
    <x v="4"/>
    <x v="0"/>
    <x v="2"/>
    <n v="37"/>
    <x v="0"/>
    <x v="1"/>
  </r>
  <r>
    <n v="24433"/>
    <x v="0"/>
    <x v="1"/>
    <n v="70000"/>
    <x v="1"/>
    <x v="2"/>
    <x v="2"/>
    <x v="1"/>
    <x v="1"/>
    <x v="3"/>
    <x v="2"/>
    <n v="52"/>
    <x v="0"/>
    <x v="1"/>
  </r>
  <r>
    <n v="15501"/>
    <x v="0"/>
    <x v="1"/>
    <n v="70000"/>
    <x v="5"/>
    <x v="4"/>
    <x v="2"/>
    <x v="0"/>
    <x v="0"/>
    <x v="1"/>
    <x v="2"/>
    <n v="36"/>
    <x v="0"/>
    <x v="1"/>
  </r>
  <r>
    <n v="13911"/>
    <x v="1"/>
    <x v="0"/>
    <n v="80000"/>
    <x v="1"/>
    <x v="0"/>
    <x v="0"/>
    <x v="0"/>
    <x v="2"/>
    <x v="1"/>
    <x v="2"/>
    <n v="41"/>
    <x v="0"/>
    <x v="1"/>
  </r>
  <r>
    <n v="20421"/>
    <x v="1"/>
    <x v="0"/>
    <n v="40000"/>
    <x v="3"/>
    <x v="3"/>
    <x v="1"/>
    <x v="0"/>
    <x v="2"/>
    <x v="2"/>
    <x v="2"/>
    <n v="26"/>
    <x v="2"/>
    <x v="0"/>
  </r>
  <r>
    <n v="16009"/>
    <x v="1"/>
    <x v="1"/>
    <n v="170000"/>
    <x v="0"/>
    <x v="4"/>
    <x v="4"/>
    <x v="1"/>
    <x v="3"/>
    <x v="0"/>
    <x v="2"/>
    <n v="66"/>
    <x v="1"/>
    <x v="0"/>
  </r>
  <r>
    <n v="18411"/>
    <x v="0"/>
    <x v="1"/>
    <n v="60000"/>
    <x v="4"/>
    <x v="2"/>
    <x v="2"/>
    <x v="1"/>
    <x v="2"/>
    <x v="2"/>
    <x v="2"/>
    <n v="51"/>
    <x v="0"/>
    <x v="0"/>
  </r>
  <r>
    <n v="19163"/>
    <x v="0"/>
    <x v="0"/>
    <n v="70000"/>
    <x v="5"/>
    <x v="0"/>
    <x v="2"/>
    <x v="0"/>
    <x v="2"/>
    <x v="0"/>
    <x v="2"/>
    <n v="43"/>
    <x v="0"/>
    <x v="1"/>
  </r>
  <r>
    <n v="18572"/>
    <x v="0"/>
    <x v="0"/>
    <n v="60000"/>
    <x v="3"/>
    <x v="4"/>
    <x v="2"/>
    <x v="0"/>
    <x v="0"/>
    <x v="0"/>
    <x v="2"/>
    <n v="39"/>
    <x v="0"/>
    <x v="0"/>
  </r>
  <r>
    <n v="27540"/>
    <x v="1"/>
    <x v="0"/>
    <n v="70000"/>
    <x v="3"/>
    <x v="0"/>
    <x v="2"/>
    <x v="1"/>
    <x v="1"/>
    <x v="0"/>
    <x v="2"/>
    <n v="37"/>
    <x v="0"/>
    <x v="1"/>
  </r>
  <r>
    <n v="19889"/>
    <x v="1"/>
    <x v="0"/>
    <n v="70000"/>
    <x v="4"/>
    <x v="3"/>
    <x v="0"/>
    <x v="1"/>
    <x v="2"/>
    <x v="1"/>
    <x v="2"/>
    <n v="54"/>
    <x v="0"/>
    <x v="1"/>
  </r>
  <r>
    <n v="12922"/>
    <x v="1"/>
    <x v="0"/>
    <n v="60000"/>
    <x v="1"/>
    <x v="0"/>
    <x v="0"/>
    <x v="0"/>
    <x v="0"/>
    <x v="1"/>
    <x v="2"/>
    <n v="40"/>
    <x v="0"/>
    <x v="1"/>
  </r>
  <r>
    <n v="18891"/>
    <x v="0"/>
    <x v="0"/>
    <n v="40000"/>
    <x v="3"/>
    <x v="1"/>
    <x v="0"/>
    <x v="0"/>
    <x v="2"/>
    <x v="2"/>
    <x v="2"/>
    <n v="28"/>
    <x v="2"/>
    <x v="0"/>
  </r>
  <r>
    <n v="16773"/>
    <x v="0"/>
    <x v="1"/>
    <n v="60000"/>
    <x v="0"/>
    <x v="4"/>
    <x v="0"/>
    <x v="0"/>
    <x v="0"/>
    <x v="0"/>
    <x v="2"/>
    <n v="33"/>
    <x v="0"/>
    <x v="0"/>
  </r>
  <r>
    <n v="19143"/>
    <x v="1"/>
    <x v="0"/>
    <n v="80000"/>
    <x v="1"/>
    <x v="0"/>
    <x v="0"/>
    <x v="0"/>
    <x v="2"/>
    <x v="1"/>
    <x v="2"/>
    <n v="41"/>
    <x v="0"/>
    <x v="1"/>
  </r>
  <r>
    <n v="23882"/>
    <x v="1"/>
    <x v="0"/>
    <n v="80000"/>
    <x v="1"/>
    <x v="4"/>
    <x v="2"/>
    <x v="0"/>
    <x v="0"/>
    <x v="0"/>
    <x v="2"/>
    <n v="37"/>
    <x v="0"/>
    <x v="1"/>
  </r>
  <r>
    <n v="11233"/>
    <x v="0"/>
    <x v="1"/>
    <n v="70000"/>
    <x v="5"/>
    <x v="1"/>
    <x v="2"/>
    <x v="0"/>
    <x v="2"/>
    <x v="4"/>
    <x v="2"/>
    <n v="53"/>
    <x v="0"/>
    <x v="0"/>
  </r>
  <r>
    <n v="12056"/>
    <x v="0"/>
    <x v="1"/>
    <n v="120000"/>
    <x v="4"/>
    <x v="4"/>
    <x v="4"/>
    <x v="0"/>
    <x v="4"/>
    <x v="2"/>
    <x v="2"/>
    <n v="64"/>
    <x v="1"/>
    <x v="0"/>
  </r>
  <r>
    <n v="15555"/>
    <x v="0"/>
    <x v="0"/>
    <n v="60000"/>
    <x v="0"/>
    <x v="1"/>
    <x v="0"/>
    <x v="0"/>
    <x v="1"/>
    <x v="1"/>
    <x v="2"/>
    <n v="45"/>
    <x v="0"/>
    <x v="1"/>
  </r>
  <r>
    <n v="18423"/>
    <x v="1"/>
    <x v="1"/>
    <n v="80000"/>
    <x v="4"/>
    <x v="3"/>
    <x v="0"/>
    <x v="1"/>
    <x v="2"/>
    <x v="3"/>
    <x v="2"/>
    <n v="52"/>
    <x v="0"/>
    <x v="0"/>
  </r>
  <r>
    <n v="22743"/>
    <x v="0"/>
    <x v="0"/>
    <n v="40000"/>
    <x v="2"/>
    <x v="2"/>
    <x v="2"/>
    <x v="0"/>
    <x v="2"/>
    <x v="4"/>
    <x v="2"/>
    <n v="60"/>
    <x v="1"/>
    <x v="0"/>
  </r>
  <r>
    <n v="25343"/>
    <x v="1"/>
    <x v="0"/>
    <n v="20000"/>
    <x v="1"/>
    <x v="3"/>
    <x v="1"/>
    <x v="0"/>
    <x v="2"/>
    <x v="3"/>
    <x v="2"/>
    <n v="50"/>
    <x v="0"/>
    <x v="0"/>
  </r>
  <r>
    <n v="13390"/>
    <x v="0"/>
    <x v="0"/>
    <n v="70000"/>
    <x v="5"/>
    <x v="1"/>
    <x v="2"/>
    <x v="1"/>
    <x v="1"/>
    <x v="3"/>
    <x v="2"/>
    <n v="56"/>
    <x v="1"/>
    <x v="0"/>
  </r>
  <r>
    <n v="17482"/>
    <x v="1"/>
    <x v="0"/>
    <n v="40000"/>
    <x v="3"/>
    <x v="3"/>
    <x v="1"/>
    <x v="0"/>
    <x v="2"/>
    <x v="2"/>
    <x v="2"/>
    <n v="29"/>
    <x v="2"/>
    <x v="0"/>
  </r>
  <r>
    <n v="13176"/>
    <x v="1"/>
    <x v="1"/>
    <n v="130000"/>
    <x v="3"/>
    <x v="4"/>
    <x v="4"/>
    <x v="1"/>
    <x v="2"/>
    <x v="0"/>
    <x v="2"/>
    <n v="38"/>
    <x v="0"/>
    <x v="1"/>
  </r>
  <r>
    <n v="20504"/>
    <x v="0"/>
    <x v="0"/>
    <n v="40000"/>
    <x v="2"/>
    <x v="2"/>
    <x v="2"/>
    <x v="1"/>
    <x v="2"/>
    <x v="1"/>
    <x v="2"/>
    <n v="60"/>
    <x v="1"/>
    <x v="0"/>
  </r>
  <r>
    <n v="12205"/>
    <x v="1"/>
    <x v="0"/>
    <n v="130000"/>
    <x v="4"/>
    <x v="0"/>
    <x v="4"/>
    <x v="1"/>
    <x v="3"/>
    <x v="0"/>
    <x v="2"/>
    <n v="67"/>
    <x v="1"/>
    <x v="0"/>
  </r>
  <r>
    <n v="16751"/>
    <x v="0"/>
    <x v="1"/>
    <n v="60000"/>
    <x v="3"/>
    <x v="1"/>
    <x v="0"/>
    <x v="0"/>
    <x v="1"/>
    <x v="2"/>
    <x v="2"/>
    <n v="32"/>
    <x v="0"/>
    <x v="1"/>
  </r>
  <r>
    <n v="21613"/>
    <x v="1"/>
    <x v="1"/>
    <n v="50000"/>
    <x v="4"/>
    <x v="0"/>
    <x v="0"/>
    <x v="1"/>
    <x v="1"/>
    <x v="0"/>
    <x v="2"/>
    <n v="39"/>
    <x v="0"/>
    <x v="1"/>
  </r>
  <r>
    <n v="24801"/>
    <x v="1"/>
    <x v="1"/>
    <n v="60000"/>
    <x v="0"/>
    <x v="4"/>
    <x v="2"/>
    <x v="0"/>
    <x v="0"/>
    <x v="1"/>
    <x v="2"/>
    <n v="35"/>
    <x v="0"/>
    <x v="1"/>
  </r>
  <r>
    <n v="17519"/>
    <x v="0"/>
    <x v="0"/>
    <n v="60000"/>
    <x v="3"/>
    <x v="1"/>
    <x v="2"/>
    <x v="0"/>
    <x v="2"/>
    <x v="2"/>
    <x v="2"/>
    <n v="32"/>
    <x v="0"/>
    <x v="0"/>
  </r>
  <r>
    <n v="18347"/>
    <x v="1"/>
    <x v="0"/>
    <n v="30000"/>
    <x v="3"/>
    <x v="1"/>
    <x v="0"/>
    <x v="1"/>
    <x v="1"/>
    <x v="3"/>
    <x v="2"/>
    <n v="31"/>
    <x v="0"/>
    <x v="0"/>
  </r>
  <r>
    <n v="29052"/>
    <x v="1"/>
    <x v="1"/>
    <n v="40000"/>
    <x v="3"/>
    <x v="1"/>
    <x v="0"/>
    <x v="0"/>
    <x v="1"/>
    <x v="2"/>
    <x v="2"/>
    <n v="27"/>
    <x v="2"/>
    <x v="0"/>
  </r>
  <r>
    <n v="11745"/>
    <x v="0"/>
    <x v="0"/>
    <n v="60000"/>
    <x v="0"/>
    <x v="0"/>
    <x v="2"/>
    <x v="0"/>
    <x v="1"/>
    <x v="0"/>
    <x v="2"/>
    <n v="47"/>
    <x v="0"/>
    <x v="1"/>
  </r>
  <r>
    <n v="19147"/>
    <x v="0"/>
    <x v="1"/>
    <n v="40000"/>
    <x v="3"/>
    <x v="0"/>
    <x v="2"/>
    <x v="1"/>
    <x v="1"/>
    <x v="0"/>
    <x v="2"/>
    <n v="42"/>
    <x v="0"/>
    <x v="0"/>
  </r>
  <r>
    <n v="19217"/>
    <x v="0"/>
    <x v="1"/>
    <n v="30000"/>
    <x v="4"/>
    <x v="2"/>
    <x v="0"/>
    <x v="0"/>
    <x v="2"/>
    <x v="3"/>
    <x v="2"/>
    <n v="49"/>
    <x v="0"/>
    <x v="0"/>
  </r>
  <r>
    <n v="15839"/>
    <x v="1"/>
    <x v="1"/>
    <n v="30000"/>
    <x v="3"/>
    <x v="1"/>
    <x v="0"/>
    <x v="0"/>
    <x v="1"/>
    <x v="2"/>
    <x v="2"/>
    <n v="32"/>
    <x v="0"/>
    <x v="0"/>
  </r>
  <r>
    <n v="13714"/>
    <x v="0"/>
    <x v="0"/>
    <n v="20000"/>
    <x v="4"/>
    <x v="2"/>
    <x v="3"/>
    <x v="1"/>
    <x v="2"/>
    <x v="3"/>
    <x v="2"/>
    <n v="53"/>
    <x v="0"/>
    <x v="1"/>
  </r>
  <r>
    <n v="22330"/>
    <x v="0"/>
    <x v="1"/>
    <n v="50000"/>
    <x v="3"/>
    <x v="4"/>
    <x v="0"/>
    <x v="0"/>
    <x v="0"/>
    <x v="3"/>
    <x v="2"/>
    <n v="32"/>
    <x v="0"/>
    <x v="1"/>
  </r>
  <r>
    <n v="18783"/>
    <x v="1"/>
    <x v="1"/>
    <n v="80000"/>
    <x v="3"/>
    <x v="0"/>
    <x v="4"/>
    <x v="1"/>
    <x v="1"/>
    <x v="0"/>
    <x v="2"/>
    <n v="38"/>
    <x v="0"/>
    <x v="1"/>
  </r>
  <r>
    <n v="25041"/>
    <x v="1"/>
    <x v="1"/>
    <n v="40000"/>
    <x v="3"/>
    <x v="2"/>
    <x v="0"/>
    <x v="0"/>
    <x v="2"/>
    <x v="2"/>
    <x v="2"/>
    <n v="31"/>
    <x v="0"/>
    <x v="0"/>
  </r>
  <r>
    <n v="22046"/>
    <x v="1"/>
    <x v="0"/>
    <n v="80000"/>
    <x v="3"/>
    <x v="0"/>
    <x v="4"/>
    <x v="1"/>
    <x v="1"/>
    <x v="0"/>
    <x v="2"/>
    <n v="38"/>
    <x v="0"/>
    <x v="1"/>
  </r>
  <r>
    <n v="28052"/>
    <x v="0"/>
    <x v="1"/>
    <n v="60000"/>
    <x v="4"/>
    <x v="2"/>
    <x v="2"/>
    <x v="0"/>
    <x v="2"/>
    <x v="4"/>
    <x v="2"/>
    <n v="55"/>
    <x v="0"/>
    <x v="0"/>
  </r>
  <r>
    <n v="26693"/>
    <x v="0"/>
    <x v="1"/>
    <n v="70000"/>
    <x v="1"/>
    <x v="1"/>
    <x v="2"/>
    <x v="0"/>
    <x v="1"/>
    <x v="2"/>
    <x v="2"/>
    <n v="49"/>
    <x v="0"/>
    <x v="0"/>
  </r>
  <r>
    <n v="24955"/>
    <x v="1"/>
    <x v="1"/>
    <n v="30000"/>
    <x v="2"/>
    <x v="3"/>
    <x v="0"/>
    <x v="0"/>
    <x v="4"/>
    <x v="4"/>
    <x v="2"/>
    <n v="60"/>
    <x v="1"/>
    <x v="1"/>
  </r>
  <r>
    <n v="26065"/>
    <x v="1"/>
    <x v="0"/>
    <n v="110000"/>
    <x v="1"/>
    <x v="0"/>
    <x v="4"/>
    <x v="1"/>
    <x v="3"/>
    <x v="3"/>
    <x v="2"/>
    <n v="42"/>
    <x v="0"/>
    <x v="0"/>
  </r>
  <r>
    <n v="13942"/>
    <x v="0"/>
    <x v="1"/>
    <n v="60000"/>
    <x v="0"/>
    <x v="1"/>
    <x v="0"/>
    <x v="0"/>
    <x v="1"/>
    <x v="0"/>
    <x v="2"/>
    <n v="46"/>
    <x v="0"/>
    <x v="0"/>
  </r>
  <r>
    <n v="11219"/>
    <x v="0"/>
    <x v="1"/>
    <n v="60000"/>
    <x v="4"/>
    <x v="2"/>
    <x v="2"/>
    <x v="0"/>
    <x v="2"/>
    <x v="4"/>
    <x v="2"/>
    <n v="55"/>
    <x v="0"/>
    <x v="0"/>
  </r>
  <r>
    <n v="22118"/>
    <x v="1"/>
    <x v="0"/>
    <n v="70000"/>
    <x v="1"/>
    <x v="4"/>
    <x v="4"/>
    <x v="0"/>
    <x v="2"/>
    <x v="2"/>
    <x v="2"/>
    <n v="53"/>
    <x v="0"/>
    <x v="1"/>
  </r>
  <r>
    <n v="23197"/>
    <x v="0"/>
    <x v="1"/>
    <n v="50000"/>
    <x v="1"/>
    <x v="0"/>
    <x v="0"/>
    <x v="0"/>
    <x v="2"/>
    <x v="1"/>
    <x v="2"/>
    <n v="40"/>
    <x v="0"/>
    <x v="0"/>
  </r>
  <r>
    <n v="14883"/>
    <x v="0"/>
    <x v="0"/>
    <n v="30000"/>
    <x v="0"/>
    <x v="0"/>
    <x v="0"/>
    <x v="0"/>
    <x v="1"/>
    <x v="2"/>
    <x v="2"/>
    <n v="53"/>
    <x v="0"/>
    <x v="1"/>
  </r>
  <r>
    <n v="27279"/>
    <x v="1"/>
    <x v="0"/>
    <n v="70000"/>
    <x v="4"/>
    <x v="0"/>
    <x v="0"/>
    <x v="0"/>
    <x v="0"/>
    <x v="1"/>
    <x v="2"/>
    <n v="38"/>
    <x v="0"/>
    <x v="1"/>
  </r>
  <r>
    <n v="18322"/>
    <x v="1"/>
    <x v="1"/>
    <n v="30000"/>
    <x v="3"/>
    <x v="3"/>
    <x v="1"/>
    <x v="1"/>
    <x v="2"/>
    <x v="0"/>
    <x v="2"/>
    <n v="26"/>
    <x v="2"/>
    <x v="0"/>
  </r>
  <r>
    <n v="15879"/>
    <x v="0"/>
    <x v="1"/>
    <n v="70000"/>
    <x v="2"/>
    <x v="0"/>
    <x v="4"/>
    <x v="0"/>
    <x v="2"/>
    <x v="1"/>
    <x v="2"/>
    <n v="61"/>
    <x v="1"/>
    <x v="0"/>
  </r>
  <r>
    <n v="28278"/>
    <x v="0"/>
    <x v="1"/>
    <n v="50000"/>
    <x v="4"/>
    <x v="4"/>
    <x v="4"/>
    <x v="0"/>
    <x v="2"/>
    <x v="2"/>
    <x v="2"/>
    <n v="71"/>
    <x v="1"/>
    <x v="0"/>
  </r>
  <r>
    <n v="24416"/>
    <x v="0"/>
    <x v="1"/>
    <n v="90000"/>
    <x v="5"/>
    <x v="2"/>
    <x v="2"/>
    <x v="0"/>
    <x v="2"/>
    <x v="3"/>
    <x v="2"/>
    <n v="45"/>
    <x v="0"/>
    <x v="0"/>
  </r>
  <r>
    <n v="28066"/>
    <x v="0"/>
    <x v="1"/>
    <n v="80000"/>
    <x v="4"/>
    <x v="4"/>
    <x v="2"/>
    <x v="0"/>
    <x v="0"/>
    <x v="0"/>
    <x v="2"/>
    <n v="37"/>
    <x v="0"/>
    <x v="1"/>
  </r>
  <r>
    <n v="11275"/>
    <x v="0"/>
    <x v="0"/>
    <n v="80000"/>
    <x v="5"/>
    <x v="4"/>
    <x v="4"/>
    <x v="0"/>
    <x v="2"/>
    <x v="0"/>
    <x v="2"/>
    <n v="72"/>
    <x v="1"/>
    <x v="1"/>
  </r>
  <r>
    <n v="14872"/>
    <x v="0"/>
    <x v="1"/>
    <n v="30000"/>
    <x v="3"/>
    <x v="4"/>
    <x v="0"/>
    <x v="0"/>
    <x v="0"/>
    <x v="0"/>
    <x v="2"/>
    <n v="32"/>
    <x v="0"/>
    <x v="0"/>
  </r>
  <r>
    <n v="16151"/>
    <x v="0"/>
    <x v="0"/>
    <n v="60000"/>
    <x v="0"/>
    <x v="0"/>
    <x v="2"/>
    <x v="0"/>
    <x v="1"/>
    <x v="1"/>
    <x v="2"/>
    <n v="48"/>
    <x v="0"/>
    <x v="1"/>
  </r>
  <r>
    <n v="19731"/>
    <x v="0"/>
    <x v="1"/>
    <n v="80000"/>
    <x v="5"/>
    <x v="4"/>
    <x v="4"/>
    <x v="0"/>
    <x v="2"/>
    <x v="2"/>
    <x v="2"/>
    <n v="68"/>
    <x v="1"/>
    <x v="0"/>
  </r>
  <r>
    <n v="23801"/>
    <x v="0"/>
    <x v="0"/>
    <n v="20000"/>
    <x v="4"/>
    <x v="3"/>
    <x v="1"/>
    <x v="0"/>
    <x v="2"/>
    <x v="0"/>
    <x v="2"/>
    <n v="49"/>
    <x v="0"/>
    <x v="0"/>
  </r>
  <r>
    <n v="11807"/>
    <x v="0"/>
    <x v="1"/>
    <n v="70000"/>
    <x v="1"/>
    <x v="4"/>
    <x v="2"/>
    <x v="0"/>
    <x v="0"/>
    <x v="1"/>
    <x v="2"/>
    <n v="34"/>
    <x v="0"/>
    <x v="0"/>
  </r>
  <r>
    <n v="11622"/>
    <x v="0"/>
    <x v="1"/>
    <n v="50000"/>
    <x v="3"/>
    <x v="4"/>
    <x v="0"/>
    <x v="0"/>
    <x v="0"/>
    <x v="0"/>
    <x v="2"/>
    <n v="32"/>
    <x v="0"/>
    <x v="0"/>
  </r>
  <r>
    <n v="26597"/>
    <x v="1"/>
    <x v="0"/>
    <n v="60000"/>
    <x v="5"/>
    <x v="0"/>
    <x v="0"/>
    <x v="1"/>
    <x v="2"/>
    <x v="0"/>
    <x v="2"/>
    <n v="42"/>
    <x v="0"/>
    <x v="0"/>
  </r>
  <r>
    <n v="27074"/>
    <x v="0"/>
    <x v="0"/>
    <n v="70000"/>
    <x v="0"/>
    <x v="4"/>
    <x v="0"/>
    <x v="0"/>
    <x v="0"/>
    <x v="0"/>
    <x v="2"/>
    <n v="35"/>
    <x v="0"/>
    <x v="1"/>
  </r>
  <r>
    <n v="19228"/>
    <x v="0"/>
    <x v="0"/>
    <n v="40000"/>
    <x v="4"/>
    <x v="1"/>
    <x v="1"/>
    <x v="0"/>
    <x v="1"/>
    <x v="0"/>
    <x v="2"/>
    <n v="48"/>
    <x v="0"/>
    <x v="0"/>
  </r>
  <r>
    <n v="13415"/>
    <x v="1"/>
    <x v="1"/>
    <n v="100000"/>
    <x v="0"/>
    <x v="4"/>
    <x v="4"/>
    <x v="0"/>
    <x v="4"/>
    <x v="1"/>
    <x v="2"/>
    <n v="73"/>
    <x v="1"/>
    <x v="1"/>
  </r>
  <r>
    <n v="17000"/>
    <x v="1"/>
    <x v="0"/>
    <n v="70000"/>
    <x v="5"/>
    <x v="0"/>
    <x v="0"/>
    <x v="0"/>
    <x v="2"/>
    <x v="1"/>
    <x v="2"/>
    <n v="43"/>
    <x v="0"/>
    <x v="1"/>
  </r>
  <r>
    <n v="14569"/>
    <x v="0"/>
    <x v="1"/>
    <n v="60000"/>
    <x v="0"/>
    <x v="4"/>
    <x v="2"/>
    <x v="0"/>
    <x v="0"/>
    <x v="0"/>
    <x v="2"/>
    <n v="35"/>
    <x v="0"/>
    <x v="0"/>
  </r>
  <r>
    <n v="13873"/>
    <x v="0"/>
    <x v="1"/>
    <n v="70000"/>
    <x v="1"/>
    <x v="4"/>
    <x v="2"/>
    <x v="0"/>
    <x v="0"/>
    <x v="0"/>
    <x v="2"/>
    <n v="35"/>
    <x v="0"/>
    <x v="1"/>
  </r>
  <r>
    <n v="20401"/>
    <x v="0"/>
    <x v="0"/>
    <n v="50000"/>
    <x v="5"/>
    <x v="0"/>
    <x v="4"/>
    <x v="0"/>
    <x v="2"/>
    <x v="3"/>
    <x v="2"/>
    <n v="64"/>
    <x v="1"/>
    <x v="1"/>
  </r>
  <r>
    <n v="21583"/>
    <x v="0"/>
    <x v="0"/>
    <n v="50000"/>
    <x v="0"/>
    <x v="0"/>
    <x v="0"/>
    <x v="0"/>
    <x v="0"/>
    <x v="0"/>
    <x v="2"/>
    <n v="34"/>
    <x v="0"/>
    <x v="1"/>
  </r>
  <r>
    <n v="12029"/>
    <x v="0"/>
    <x v="1"/>
    <n v="30000"/>
    <x v="3"/>
    <x v="3"/>
    <x v="1"/>
    <x v="1"/>
    <x v="2"/>
    <x v="0"/>
    <x v="2"/>
    <n v="28"/>
    <x v="2"/>
    <x v="0"/>
  </r>
  <r>
    <n v="18066"/>
    <x v="1"/>
    <x v="1"/>
    <n v="70000"/>
    <x v="2"/>
    <x v="0"/>
    <x v="4"/>
    <x v="0"/>
    <x v="4"/>
    <x v="4"/>
    <x v="2"/>
    <n v="60"/>
    <x v="1"/>
    <x v="1"/>
  </r>
  <r>
    <n v="28192"/>
    <x v="0"/>
    <x v="0"/>
    <n v="70000"/>
    <x v="2"/>
    <x v="4"/>
    <x v="2"/>
    <x v="0"/>
    <x v="4"/>
    <x v="4"/>
    <x v="2"/>
    <n v="46"/>
    <x v="0"/>
    <x v="0"/>
  </r>
  <r>
    <n v="16122"/>
    <x v="0"/>
    <x v="1"/>
    <n v="40000"/>
    <x v="5"/>
    <x v="2"/>
    <x v="0"/>
    <x v="0"/>
    <x v="2"/>
    <x v="0"/>
    <x v="2"/>
    <n v="44"/>
    <x v="0"/>
    <x v="1"/>
  </r>
  <r>
    <n v="18607"/>
    <x v="1"/>
    <x v="0"/>
    <n v="60000"/>
    <x v="5"/>
    <x v="0"/>
    <x v="0"/>
    <x v="0"/>
    <x v="2"/>
    <x v="1"/>
    <x v="2"/>
    <n v="42"/>
    <x v="0"/>
    <x v="1"/>
  </r>
  <r>
    <n v="28858"/>
    <x v="1"/>
    <x v="1"/>
    <n v="80000"/>
    <x v="1"/>
    <x v="0"/>
    <x v="0"/>
    <x v="0"/>
    <x v="0"/>
    <x v="1"/>
    <x v="2"/>
    <n v="40"/>
    <x v="0"/>
    <x v="0"/>
  </r>
  <r>
    <n v="14432"/>
    <x v="1"/>
    <x v="1"/>
    <n v="90000"/>
    <x v="5"/>
    <x v="4"/>
    <x v="4"/>
    <x v="0"/>
    <x v="1"/>
    <x v="2"/>
    <x v="2"/>
    <n v="73"/>
    <x v="1"/>
    <x v="0"/>
  </r>
  <r>
    <n v="26305"/>
    <x v="1"/>
    <x v="0"/>
    <n v="60000"/>
    <x v="4"/>
    <x v="0"/>
    <x v="0"/>
    <x v="1"/>
    <x v="0"/>
    <x v="0"/>
    <x v="2"/>
    <n v="36"/>
    <x v="0"/>
    <x v="1"/>
  </r>
  <r>
    <n v="22050"/>
    <x v="1"/>
    <x v="1"/>
    <n v="90000"/>
    <x v="5"/>
    <x v="0"/>
    <x v="4"/>
    <x v="0"/>
    <x v="1"/>
    <x v="3"/>
    <x v="2"/>
    <n v="38"/>
    <x v="0"/>
    <x v="1"/>
  </r>
  <r>
    <n v="25394"/>
    <x v="0"/>
    <x v="1"/>
    <n v="60000"/>
    <x v="0"/>
    <x v="4"/>
    <x v="2"/>
    <x v="0"/>
    <x v="0"/>
    <x v="1"/>
    <x v="2"/>
    <n v="34"/>
    <x v="0"/>
    <x v="1"/>
  </r>
  <r>
    <n v="19747"/>
    <x v="0"/>
    <x v="1"/>
    <n v="50000"/>
    <x v="5"/>
    <x v="0"/>
    <x v="4"/>
    <x v="0"/>
    <x v="2"/>
    <x v="4"/>
    <x v="2"/>
    <n v="63"/>
    <x v="1"/>
    <x v="0"/>
  </r>
  <r>
    <n v="23195"/>
    <x v="1"/>
    <x v="1"/>
    <n v="50000"/>
    <x v="1"/>
    <x v="0"/>
    <x v="0"/>
    <x v="0"/>
    <x v="2"/>
    <x v="1"/>
    <x v="2"/>
    <n v="41"/>
    <x v="0"/>
    <x v="1"/>
  </r>
  <r>
    <n v="21695"/>
    <x v="0"/>
    <x v="1"/>
    <n v="60000"/>
    <x v="3"/>
    <x v="4"/>
    <x v="0"/>
    <x v="0"/>
    <x v="0"/>
    <x v="3"/>
    <x v="2"/>
    <n v="39"/>
    <x v="0"/>
    <x v="1"/>
  </r>
  <r>
    <n v="13934"/>
    <x v="0"/>
    <x v="1"/>
    <n v="40000"/>
    <x v="5"/>
    <x v="2"/>
    <x v="0"/>
    <x v="0"/>
    <x v="2"/>
    <x v="1"/>
    <x v="2"/>
    <n v="46"/>
    <x v="0"/>
    <x v="0"/>
  </r>
  <r>
    <n v="13337"/>
    <x v="0"/>
    <x v="0"/>
    <n v="80000"/>
    <x v="2"/>
    <x v="0"/>
    <x v="4"/>
    <x v="0"/>
    <x v="2"/>
    <x v="2"/>
    <x v="2"/>
    <n v="64"/>
    <x v="1"/>
    <x v="0"/>
  </r>
  <r>
    <n v="27190"/>
    <x v="0"/>
    <x v="0"/>
    <n v="40000"/>
    <x v="1"/>
    <x v="1"/>
    <x v="1"/>
    <x v="0"/>
    <x v="1"/>
    <x v="3"/>
    <x v="2"/>
    <n v="32"/>
    <x v="0"/>
    <x v="0"/>
  </r>
  <r>
    <n v="28657"/>
    <x v="1"/>
    <x v="1"/>
    <n v="60000"/>
    <x v="4"/>
    <x v="0"/>
    <x v="0"/>
    <x v="0"/>
    <x v="0"/>
    <x v="1"/>
    <x v="2"/>
    <n v="36"/>
    <x v="0"/>
    <x v="1"/>
  </r>
  <r>
    <n v="21713"/>
    <x v="1"/>
    <x v="1"/>
    <n v="80000"/>
    <x v="2"/>
    <x v="4"/>
    <x v="0"/>
    <x v="1"/>
    <x v="0"/>
    <x v="0"/>
    <x v="2"/>
    <n v="47"/>
    <x v="0"/>
    <x v="0"/>
  </r>
  <r>
    <n v="21752"/>
    <x v="0"/>
    <x v="1"/>
    <n v="60000"/>
    <x v="1"/>
    <x v="4"/>
    <x v="4"/>
    <x v="0"/>
    <x v="2"/>
    <x v="4"/>
    <x v="2"/>
    <n v="64"/>
    <x v="1"/>
    <x v="0"/>
  </r>
  <r>
    <n v="27273"/>
    <x v="1"/>
    <x v="1"/>
    <n v="70000"/>
    <x v="1"/>
    <x v="4"/>
    <x v="2"/>
    <x v="1"/>
    <x v="0"/>
    <x v="0"/>
    <x v="2"/>
    <n v="35"/>
    <x v="0"/>
    <x v="1"/>
  </r>
  <r>
    <n v="22719"/>
    <x v="1"/>
    <x v="1"/>
    <n v="110000"/>
    <x v="1"/>
    <x v="0"/>
    <x v="4"/>
    <x v="0"/>
    <x v="3"/>
    <x v="1"/>
    <x v="2"/>
    <n v="40"/>
    <x v="0"/>
    <x v="1"/>
  </r>
  <r>
    <n v="22042"/>
    <x v="0"/>
    <x v="0"/>
    <n v="70000"/>
    <x v="3"/>
    <x v="1"/>
    <x v="0"/>
    <x v="0"/>
    <x v="2"/>
    <x v="2"/>
    <x v="2"/>
    <n v="34"/>
    <x v="0"/>
    <x v="1"/>
  </r>
  <r>
    <n v="21451"/>
    <x v="0"/>
    <x v="0"/>
    <n v="40000"/>
    <x v="5"/>
    <x v="2"/>
    <x v="2"/>
    <x v="0"/>
    <x v="2"/>
    <x v="4"/>
    <x v="2"/>
    <n v="61"/>
    <x v="1"/>
    <x v="0"/>
  </r>
  <r>
    <n v="20754"/>
    <x v="0"/>
    <x v="1"/>
    <n v="30000"/>
    <x v="4"/>
    <x v="2"/>
    <x v="0"/>
    <x v="0"/>
    <x v="2"/>
    <x v="3"/>
    <x v="2"/>
    <n v="51"/>
    <x v="0"/>
    <x v="0"/>
  </r>
  <r>
    <n v="12153"/>
    <x v="1"/>
    <x v="0"/>
    <n v="70000"/>
    <x v="1"/>
    <x v="1"/>
    <x v="2"/>
    <x v="0"/>
    <x v="1"/>
    <x v="2"/>
    <x v="2"/>
    <n v="49"/>
    <x v="0"/>
    <x v="1"/>
  </r>
  <r>
    <n v="16895"/>
    <x v="0"/>
    <x v="0"/>
    <n v="40000"/>
    <x v="1"/>
    <x v="1"/>
    <x v="2"/>
    <x v="1"/>
    <x v="2"/>
    <x v="3"/>
    <x v="2"/>
    <n v="54"/>
    <x v="0"/>
    <x v="1"/>
  </r>
  <r>
    <n v="26728"/>
    <x v="1"/>
    <x v="1"/>
    <n v="70000"/>
    <x v="1"/>
    <x v="4"/>
    <x v="4"/>
    <x v="1"/>
    <x v="2"/>
    <x v="3"/>
    <x v="2"/>
    <n v="53"/>
    <x v="0"/>
    <x v="1"/>
  </r>
  <r>
    <n v="11090"/>
    <x v="1"/>
    <x v="1"/>
    <n v="90000"/>
    <x v="4"/>
    <x v="1"/>
    <x v="2"/>
    <x v="0"/>
    <x v="1"/>
    <x v="1"/>
    <x v="2"/>
    <n v="48"/>
    <x v="0"/>
    <x v="1"/>
  </r>
  <r>
    <n v="15862"/>
    <x v="1"/>
    <x v="0"/>
    <n v="50000"/>
    <x v="3"/>
    <x v="4"/>
    <x v="0"/>
    <x v="0"/>
    <x v="0"/>
    <x v="3"/>
    <x v="2"/>
    <n v="33"/>
    <x v="0"/>
    <x v="1"/>
  </r>
  <r>
    <n v="26495"/>
    <x v="1"/>
    <x v="0"/>
    <n v="40000"/>
    <x v="4"/>
    <x v="2"/>
    <x v="2"/>
    <x v="0"/>
    <x v="2"/>
    <x v="4"/>
    <x v="2"/>
    <n v="57"/>
    <x v="1"/>
    <x v="0"/>
  </r>
  <r>
    <n v="11823"/>
    <x v="0"/>
    <x v="0"/>
    <n v="70000"/>
    <x v="3"/>
    <x v="4"/>
    <x v="2"/>
    <x v="0"/>
    <x v="0"/>
    <x v="1"/>
    <x v="2"/>
    <n v="39"/>
    <x v="0"/>
    <x v="0"/>
  </r>
  <r>
    <n v="23449"/>
    <x v="0"/>
    <x v="1"/>
    <n v="60000"/>
    <x v="4"/>
    <x v="2"/>
    <x v="2"/>
    <x v="0"/>
    <x v="2"/>
    <x v="2"/>
    <x v="2"/>
    <n v="48"/>
    <x v="0"/>
    <x v="0"/>
  </r>
  <r>
    <n v="23459"/>
    <x v="0"/>
    <x v="1"/>
    <n v="60000"/>
    <x v="4"/>
    <x v="2"/>
    <x v="2"/>
    <x v="0"/>
    <x v="2"/>
    <x v="2"/>
    <x v="2"/>
    <n v="50"/>
    <x v="0"/>
    <x v="0"/>
  </r>
  <r>
    <n v="19543"/>
    <x v="0"/>
    <x v="1"/>
    <n v="70000"/>
    <x v="2"/>
    <x v="4"/>
    <x v="2"/>
    <x v="1"/>
    <x v="4"/>
    <x v="4"/>
    <x v="2"/>
    <n v="47"/>
    <x v="0"/>
    <x v="0"/>
  </r>
  <r>
    <n v="14914"/>
    <x v="0"/>
    <x v="0"/>
    <n v="40000"/>
    <x v="0"/>
    <x v="1"/>
    <x v="1"/>
    <x v="0"/>
    <x v="1"/>
    <x v="3"/>
    <x v="2"/>
    <n v="49"/>
    <x v="0"/>
    <x v="1"/>
  </r>
  <r>
    <n v="12033"/>
    <x v="1"/>
    <x v="0"/>
    <n v="40000"/>
    <x v="3"/>
    <x v="2"/>
    <x v="0"/>
    <x v="1"/>
    <x v="2"/>
    <x v="0"/>
    <x v="2"/>
    <n v="27"/>
    <x v="2"/>
    <x v="1"/>
  </r>
  <r>
    <n v="11941"/>
    <x v="1"/>
    <x v="1"/>
    <n v="60000"/>
    <x v="3"/>
    <x v="1"/>
    <x v="0"/>
    <x v="0"/>
    <x v="0"/>
    <x v="2"/>
    <x v="2"/>
    <n v="29"/>
    <x v="2"/>
    <x v="0"/>
  </r>
  <r>
    <n v="14389"/>
    <x v="0"/>
    <x v="1"/>
    <n v="60000"/>
    <x v="4"/>
    <x v="0"/>
    <x v="4"/>
    <x v="0"/>
    <x v="0"/>
    <x v="1"/>
    <x v="2"/>
    <n v="59"/>
    <x v="1"/>
    <x v="0"/>
  </r>
  <r>
    <n v="18050"/>
    <x v="0"/>
    <x v="0"/>
    <n v="60000"/>
    <x v="0"/>
    <x v="1"/>
    <x v="0"/>
    <x v="0"/>
    <x v="1"/>
    <x v="0"/>
    <x v="2"/>
    <n v="45"/>
    <x v="0"/>
    <x v="1"/>
  </r>
  <r>
    <n v="19856"/>
    <x v="0"/>
    <x v="0"/>
    <n v="60000"/>
    <x v="5"/>
    <x v="0"/>
    <x v="4"/>
    <x v="0"/>
    <x v="2"/>
    <x v="1"/>
    <x v="2"/>
    <n v="60"/>
    <x v="1"/>
    <x v="0"/>
  </r>
  <r>
    <n v="11663"/>
    <x v="0"/>
    <x v="1"/>
    <n v="70000"/>
    <x v="5"/>
    <x v="4"/>
    <x v="2"/>
    <x v="0"/>
    <x v="0"/>
    <x v="0"/>
    <x v="2"/>
    <n v="36"/>
    <x v="0"/>
    <x v="1"/>
  </r>
  <r>
    <n v="27740"/>
    <x v="0"/>
    <x v="0"/>
    <n v="40000"/>
    <x v="3"/>
    <x v="2"/>
    <x v="0"/>
    <x v="0"/>
    <x v="2"/>
    <x v="2"/>
    <x v="2"/>
    <n v="27"/>
    <x v="2"/>
    <x v="0"/>
  </r>
  <r>
    <n v="23455"/>
    <x v="1"/>
    <x v="1"/>
    <n v="80000"/>
    <x v="4"/>
    <x v="3"/>
    <x v="0"/>
    <x v="1"/>
    <x v="2"/>
    <x v="3"/>
    <x v="2"/>
    <n v="50"/>
    <x v="0"/>
    <x v="0"/>
  </r>
  <r>
    <n v="15292"/>
    <x v="1"/>
    <x v="0"/>
    <n v="60000"/>
    <x v="0"/>
    <x v="4"/>
    <x v="0"/>
    <x v="0"/>
    <x v="0"/>
    <x v="3"/>
    <x v="2"/>
    <n v="35"/>
    <x v="0"/>
    <x v="0"/>
  </r>
  <r>
    <n v="21587"/>
    <x v="0"/>
    <x v="0"/>
    <n v="60000"/>
    <x v="0"/>
    <x v="4"/>
    <x v="0"/>
    <x v="0"/>
    <x v="0"/>
    <x v="1"/>
    <x v="2"/>
    <n v="34"/>
    <x v="0"/>
    <x v="1"/>
  </r>
  <r>
    <n v="23513"/>
    <x v="0"/>
    <x v="0"/>
    <n v="40000"/>
    <x v="1"/>
    <x v="1"/>
    <x v="2"/>
    <x v="0"/>
    <x v="2"/>
    <x v="2"/>
    <x v="2"/>
    <n v="54"/>
    <x v="0"/>
    <x v="0"/>
  </r>
  <r>
    <n v="24322"/>
    <x v="0"/>
    <x v="0"/>
    <n v="60000"/>
    <x v="5"/>
    <x v="0"/>
    <x v="0"/>
    <x v="1"/>
    <x v="2"/>
    <x v="0"/>
    <x v="2"/>
    <n v="42"/>
    <x v="0"/>
    <x v="0"/>
  </r>
  <r>
    <n v="26298"/>
    <x v="0"/>
    <x v="0"/>
    <n v="50000"/>
    <x v="0"/>
    <x v="0"/>
    <x v="0"/>
    <x v="0"/>
    <x v="0"/>
    <x v="1"/>
    <x v="2"/>
    <n v="34"/>
    <x v="0"/>
    <x v="1"/>
  </r>
  <r>
    <n v="25419"/>
    <x v="1"/>
    <x v="1"/>
    <n v="50000"/>
    <x v="4"/>
    <x v="0"/>
    <x v="0"/>
    <x v="1"/>
    <x v="1"/>
    <x v="0"/>
    <x v="2"/>
    <n v="38"/>
    <x v="0"/>
    <x v="1"/>
  </r>
  <r>
    <n v="13343"/>
    <x v="0"/>
    <x v="0"/>
    <n v="90000"/>
    <x v="2"/>
    <x v="0"/>
    <x v="4"/>
    <x v="0"/>
    <x v="2"/>
    <x v="3"/>
    <x v="2"/>
    <n v="63"/>
    <x v="1"/>
    <x v="1"/>
  </r>
  <r>
    <n v="11303"/>
    <x v="1"/>
    <x v="0"/>
    <n v="90000"/>
    <x v="5"/>
    <x v="2"/>
    <x v="2"/>
    <x v="1"/>
    <x v="4"/>
    <x v="3"/>
    <x v="2"/>
    <n v="45"/>
    <x v="0"/>
    <x v="1"/>
  </r>
  <r>
    <n v="21693"/>
    <x v="1"/>
    <x v="0"/>
    <n v="60000"/>
    <x v="3"/>
    <x v="4"/>
    <x v="0"/>
    <x v="1"/>
    <x v="0"/>
    <x v="0"/>
    <x v="2"/>
    <n v="40"/>
    <x v="0"/>
    <x v="0"/>
  </r>
  <r>
    <n v="28056"/>
    <x v="0"/>
    <x v="1"/>
    <n v="70000"/>
    <x v="4"/>
    <x v="3"/>
    <x v="0"/>
    <x v="0"/>
    <x v="2"/>
    <x v="4"/>
    <x v="2"/>
    <n v="53"/>
    <x v="0"/>
    <x v="0"/>
  </r>
  <r>
    <n v="11788"/>
    <x v="1"/>
    <x v="0"/>
    <n v="70000"/>
    <x v="0"/>
    <x v="4"/>
    <x v="2"/>
    <x v="0"/>
    <x v="0"/>
    <x v="1"/>
    <x v="2"/>
    <n v="34"/>
    <x v="0"/>
    <x v="0"/>
  </r>
  <r>
    <n v="22296"/>
    <x v="0"/>
    <x v="1"/>
    <n v="70000"/>
    <x v="3"/>
    <x v="0"/>
    <x v="2"/>
    <x v="1"/>
    <x v="1"/>
    <x v="0"/>
    <x v="2"/>
    <n v="38"/>
    <x v="0"/>
    <x v="0"/>
  </r>
  <r>
    <n v="15319"/>
    <x v="0"/>
    <x v="0"/>
    <n v="70000"/>
    <x v="5"/>
    <x v="0"/>
    <x v="4"/>
    <x v="1"/>
    <x v="1"/>
    <x v="3"/>
    <x v="2"/>
    <n v="59"/>
    <x v="1"/>
    <x v="0"/>
  </r>
  <r>
    <n v="17654"/>
    <x v="1"/>
    <x v="0"/>
    <n v="40000"/>
    <x v="1"/>
    <x v="1"/>
    <x v="1"/>
    <x v="0"/>
    <x v="1"/>
    <x v="3"/>
    <x v="2"/>
    <n v="30"/>
    <x v="2"/>
    <x v="1"/>
  </r>
  <r>
    <n v="14662"/>
    <x v="0"/>
    <x v="1"/>
    <n v="60000"/>
    <x v="0"/>
    <x v="0"/>
    <x v="2"/>
    <x v="0"/>
    <x v="1"/>
    <x v="0"/>
    <x v="2"/>
    <n v="48"/>
    <x v="0"/>
    <x v="1"/>
  </r>
  <r>
    <n v="17541"/>
    <x v="0"/>
    <x v="0"/>
    <n v="40000"/>
    <x v="5"/>
    <x v="2"/>
    <x v="0"/>
    <x v="0"/>
    <x v="2"/>
    <x v="1"/>
    <x v="2"/>
    <n v="43"/>
    <x v="0"/>
    <x v="0"/>
  </r>
  <r>
    <n v="13886"/>
    <x v="0"/>
    <x v="0"/>
    <n v="70000"/>
    <x v="5"/>
    <x v="4"/>
    <x v="2"/>
    <x v="0"/>
    <x v="0"/>
    <x v="1"/>
    <x v="2"/>
    <n v="35"/>
    <x v="0"/>
    <x v="1"/>
  </r>
  <r>
    <n v="13073"/>
    <x v="0"/>
    <x v="0"/>
    <n v="60000"/>
    <x v="3"/>
    <x v="1"/>
    <x v="2"/>
    <x v="0"/>
    <x v="2"/>
    <x v="2"/>
    <x v="2"/>
    <n v="30"/>
    <x v="2"/>
    <x v="0"/>
  </r>
  <r>
    <n v="21940"/>
    <x v="0"/>
    <x v="1"/>
    <n v="90000"/>
    <x v="2"/>
    <x v="4"/>
    <x v="2"/>
    <x v="0"/>
    <x v="0"/>
    <x v="0"/>
    <x v="2"/>
    <n v="47"/>
    <x v="0"/>
    <x v="1"/>
  </r>
  <r>
    <n v="20196"/>
    <x v="0"/>
    <x v="1"/>
    <n v="60000"/>
    <x v="0"/>
    <x v="1"/>
    <x v="0"/>
    <x v="0"/>
    <x v="1"/>
    <x v="1"/>
    <x v="2"/>
    <n v="45"/>
    <x v="0"/>
    <x v="1"/>
  </r>
  <r>
    <n v="23491"/>
    <x v="1"/>
    <x v="1"/>
    <n v="100000"/>
    <x v="3"/>
    <x v="1"/>
    <x v="2"/>
    <x v="1"/>
    <x v="3"/>
    <x v="3"/>
    <x v="2"/>
    <n v="45"/>
    <x v="0"/>
    <x v="0"/>
  </r>
  <r>
    <n v="16651"/>
    <x v="0"/>
    <x v="0"/>
    <n v="120000"/>
    <x v="4"/>
    <x v="0"/>
    <x v="4"/>
    <x v="0"/>
    <x v="4"/>
    <x v="2"/>
    <x v="2"/>
    <n v="62"/>
    <x v="1"/>
    <x v="0"/>
  </r>
  <r>
    <n v="16813"/>
    <x v="0"/>
    <x v="1"/>
    <n v="60000"/>
    <x v="4"/>
    <x v="1"/>
    <x v="2"/>
    <x v="0"/>
    <x v="2"/>
    <x v="4"/>
    <x v="2"/>
    <n v="55"/>
    <x v="0"/>
    <x v="0"/>
  </r>
  <r>
    <n v="16007"/>
    <x v="0"/>
    <x v="0"/>
    <n v="90000"/>
    <x v="2"/>
    <x v="0"/>
    <x v="4"/>
    <x v="0"/>
    <x v="2"/>
    <x v="3"/>
    <x v="2"/>
    <n v="66"/>
    <x v="1"/>
    <x v="1"/>
  </r>
  <r>
    <n v="27434"/>
    <x v="1"/>
    <x v="1"/>
    <n v="70000"/>
    <x v="5"/>
    <x v="1"/>
    <x v="2"/>
    <x v="0"/>
    <x v="1"/>
    <x v="4"/>
    <x v="2"/>
    <n v="56"/>
    <x v="1"/>
    <x v="0"/>
  </r>
  <r>
    <n v="27756"/>
    <x v="1"/>
    <x v="0"/>
    <n v="50000"/>
    <x v="1"/>
    <x v="0"/>
    <x v="0"/>
    <x v="1"/>
    <x v="1"/>
    <x v="0"/>
    <x v="2"/>
    <n v="40"/>
    <x v="0"/>
    <x v="0"/>
  </r>
  <r>
    <n v="23818"/>
    <x v="0"/>
    <x v="0"/>
    <n v="50000"/>
    <x v="3"/>
    <x v="4"/>
    <x v="0"/>
    <x v="0"/>
    <x v="0"/>
    <x v="3"/>
    <x v="2"/>
    <n v="33"/>
    <x v="0"/>
    <x v="1"/>
  </r>
  <r>
    <n v="19012"/>
    <x v="0"/>
    <x v="1"/>
    <n v="80000"/>
    <x v="1"/>
    <x v="0"/>
    <x v="4"/>
    <x v="0"/>
    <x v="1"/>
    <x v="3"/>
    <x v="2"/>
    <n v="56"/>
    <x v="1"/>
    <x v="0"/>
  </r>
  <r>
    <n v="18329"/>
    <x v="1"/>
    <x v="1"/>
    <n v="30000"/>
    <x v="3"/>
    <x v="3"/>
    <x v="1"/>
    <x v="1"/>
    <x v="2"/>
    <x v="2"/>
    <x v="2"/>
    <n v="27"/>
    <x v="2"/>
    <x v="0"/>
  </r>
  <r>
    <n v="29037"/>
    <x v="0"/>
    <x v="1"/>
    <n v="60000"/>
    <x v="3"/>
    <x v="4"/>
    <x v="2"/>
    <x v="1"/>
    <x v="0"/>
    <x v="0"/>
    <x v="2"/>
    <n v="39"/>
    <x v="0"/>
    <x v="0"/>
  </r>
  <r>
    <n v="26576"/>
    <x v="0"/>
    <x v="0"/>
    <n v="60000"/>
    <x v="3"/>
    <x v="1"/>
    <x v="0"/>
    <x v="0"/>
    <x v="2"/>
    <x v="2"/>
    <x v="2"/>
    <n v="31"/>
    <x v="0"/>
    <x v="0"/>
  </r>
  <r>
    <n v="12192"/>
    <x v="1"/>
    <x v="0"/>
    <n v="60000"/>
    <x v="4"/>
    <x v="3"/>
    <x v="0"/>
    <x v="1"/>
    <x v="2"/>
    <x v="3"/>
    <x v="2"/>
    <n v="51"/>
    <x v="0"/>
    <x v="0"/>
  </r>
  <r>
    <n v="14887"/>
    <x v="0"/>
    <x v="0"/>
    <n v="30000"/>
    <x v="0"/>
    <x v="2"/>
    <x v="1"/>
    <x v="0"/>
    <x v="1"/>
    <x v="2"/>
    <x v="2"/>
    <n v="52"/>
    <x v="0"/>
    <x v="0"/>
  </r>
  <r>
    <n v="11734"/>
    <x v="0"/>
    <x v="1"/>
    <n v="60000"/>
    <x v="0"/>
    <x v="1"/>
    <x v="0"/>
    <x v="1"/>
    <x v="1"/>
    <x v="0"/>
    <x v="2"/>
    <n v="47"/>
    <x v="0"/>
    <x v="0"/>
  </r>
  <r>
    <n v="17462"/>
    <x v="0"/>
    <x v="1"/>
    <n v="70000"/>
    <x v="1"/>
    <x v="4"/>
    <x v="4"/>
    <x v="0"/>
    <x v="2"/>
    <x v="2"/>
    <x v="2"/>
    <n v="53"/>
    <x v="0"/>
    <x v="1"/>
  </r>
  <r>
    <n v="20659"/>
    <x v="0"/>
    <x v="1"/>
    <n v="70000"/>
    <x v="1"/>
    <x v="4"/>
    <x v="2"/>
    <x v="0"/>
    <x v="0"/>
    <x v="0"/>
    <x v="2"/>
    <n v="35"/>
    <x v="0"/>
    <x v="1"/>
  </r>
  <r>
    <n v="28004"/>
    <x v="0"/>
    <x v="0"/>
    <n v="60000"/>
    <x v="1"/>
    <x v="0"/>
    <x v="4"/>
    <x v="0"/>
    <x v="2"/>
    <x v="4"/>
    <x v="2"/>
    <n v="66"/>
    <x v="1"/>
    <x v="0"/>
  </r>
  <r>
    <n v="19741"/>
    <x v="1"/>
    <x v="0"/>
    <n v="80000"/>
    <x v="5"/>
    <x v="4"/>
    <x v="4"/>
    <x v="0"/>
    <x v="2"/>
    <x v="2"/>
    <x v="2"/>
    <n v="65"/>
    <x v="1"/>
    <x v="0"/>
  </r>
  <r>
    <n v="17450"/>
    <x v="0"/>
    <x v="1"/>
    <n v="80000"/>
    <x v="2"/>
    <x v="1"/>
    <x v="2"/>
    <x v="0"/>
    <x v="4"/>
    <x v="2"/>
    <x v="2"/>
    <n v="45"/>
    <x v="0"/>
    <x v="0"/>
  </r>
  <r>
    <n v="17337"/>
    <x v="1"/>
    <x v="1"/>
    <n v="40000"/>
    <x v="3"/>
    <x v="2"/>
    <x v="0"/>
    <x v="0"/>
    <x v="1"/>
    <x v="2"/>
    <x v="2"/>
    <n v="31"/>
    <x v="0"/>
    <x v="0"/>
  </r>
  <r>
    <n v="18594"/>
    <x v="1"/>
    <x v="0"/>
    <n v="80000"/>
    <x v="1"/>
    <x v="0"/>
    <x v="0"/>
    <x v="0"/>
    <x v="4"/>
    <x v="4"/>
    <x v="2"/>
    <n v="40"/>
    <x v="0"/>
    <x v="1"/>
  </r>
  <r>
    <n v="15982"/>
    <x v="0"/>
    <x v="1"/>
    <n v="110000"/>
    <x v="2"/>
    <x v="1"/>
    <x v="2"/>
    <x v="0"/>
    <x v="3"/>
    <x v="1"/>
    <x v="2"/>
    <n v="46"/>
    <x v="0"/>
    <x v="0"/>
  </r>
  <r>
    <n v="28625"/>
    <x v="1"/>
    <x v="1"/>
    <n v="40000"/>
    <x v="4"/>
    <x v="1"/>
    <x v="1"/>
    <x v="1"/>
    <x v="1"/>
    <x v="3"/>
    <x v="2"/>
    <n v="47"/>
    <x v="0"/>
    <x v="1"/>
  </r>
  <r>
    <n v="11269"/>
    <x v="0"/>
    <x v="1"/>
    <n v="130000"/>
    <x v="4"/>
    <x v="4"/>
    <x v="4"/>
    <x v="0"/>
    <x v="2"/>
    <x v="0"/>
    <x v="2"/>
    <n v="41"/>
    <x v="0"/>
    <x v="0"/>
  </r>
  <r>
    <n v="25148"/>
    <x v="0"/>
    <x v="1"/>
    <n v="60000"/>
    <x v="4"/>
    <x v="2"/>
    <x v="2"/>
    <x v="1"/>
    <x v="2"/>
    <x v="3"/>
    <x v="2"/>
    <n v="48"/>
    <x v="0"/>
    <x v="1"/>
  </r>
  <r>
    <n v="13920"/>
    <x v="1"/>
    <x v="0"/>
    <n v="50000"/>
    <x v="5"/>
    <x v="0"/>
    <x v="0"/>
    <x v="0"/>
    <x v="2"/>
    <x v="0"/>
    <x v="2"/>
    <n v="42"/>
    <x v="0"/>
    <x v="0"/>
  </r>
  <r>
    <n v="23704"/>
    <x v="1"/>
    <x v="1"/>
    <n v="40000"/>
    <x v="2"/>
    <x v="2"/>
    <x v="2"/>
    <x v="0"/>
    <x v="3"/>
    <x v="4"/>
    <x v="2"/>
    <n v="60"/>
    <x v="1"/>
    <x v="1"/>
  </r>
  <r>
    <n v="28972"/>
    <x v="1"/>
    <x v="0"/>
    <n v="60000"/>
    <x v="1"/>
    <x v="4"/>
    <x v="4"/>
    <x v="0"/>
    <x v="2"/>
    <x v="4"/>
    <x v="2"/>
    <n v="66"/>
    <x v="1"/>
    <x v="0"/>
  </r>
  <r>
    <n v="22730"/>
    <x v="0"/>
    <x v="1"/>
    <n v="70000"/>
    <x v="2"/>
    <x v="0"/>
    <x v="4"/>
    <x v="0"/>
    <x v="2"/>
    <x v="4"/>
    <x v="2"/>
    <n v="63"/>
    <x v="1"/>
    <x v="0"/>
  </r>
  <r>
    <n v="29134"/>
    <x v="0"/>
    <x v="1"/>
    <n v="60000"/>
    <x v="5"/>
    <x v="0"/>
    <x v="0"/>
    <x v="1"/>
    <x v="4"/>
    <x v="4"/>
    <x v="2"/>
    <n v="42"/>
    <x v="0"/>
    <x v="0"/>
  </r>
  <r>
    <n v="14332"/>
    <x v="1"/>
    <x v="0"/>
    <n v="30000"/>
    <x v="3"/>
    <x v="2"/>
    <x v="0"/>
    <x v="1"/>
    <x v="2"/>
    <x v="2"/>
    <x v="2"/>
    <n v="26"/>
    <x v="2"/>
    <x v="0"/>
  </r>
  <r>
    <n v="19117"/>
    <x v="1"/>
    <x v="0"/>
    <n v="60000"/>
    <x v="0"/>
    <x v="4"/>
    <x v="2"/>
    <x v="0"/>
    <x v="0"/>
    <x v="1"/>
    <x v="2"/>
    <n v="36"/>
    <x v="0"/>
    <x v="1"/>
  </r>
  <r>
    <n v="22864"/>
    <x v="0"/>
    <x v="1"/>
    <n v="90000"/>
    <x v="4"/>
    <x v="1"/>
    <x v="2"/>
    <x v="1"/>
    <x v="0"/>
    <x v="2"/>
    <x v="2"/>
    <n v="49"/>
    <x v="0"/>
    <x v="1"/>
  </r>
  <r>
    <n v="11292"/>
    <x v="1"/>
    <x v="1"/>
    <n v="150000"/>
    <x v="0"/>
    <x v="1"/>
    <x v="2"/>
    <x v="1"/>
    <x v="4"/>
    <x v="0"/>
    <x v="2"/>
    <n v="44"/>
    <x v="0"/>
    <x v="1"/>
  </r>
  <r>
    <n v="13466"/>
    <x v="0"/>
    <x v="1"/>
    <n v="80000"/>
    <x v="2"/>
    <x v="1"/>
    <x v="2"/>
    <x v="0"/>
    <x v="4"/>
    <x v="3"/>
    <x v="2"/>
    <n v="46"/>
    <x v="0"/>
    <x v="0"/>
  </r>
  <r>
    <n v="23731"/>
    <x v="0"/>
    <x v="1"/>
    <n v="60000"/>
    <x v="4"/>
    <x v="2"/>
    <x v="2"/>
    <x v="0"/>
    <x v="2"/>
    <x v="1"/>
    <x v="2"/>
    <n v="54"/>
    <x v="0"/>
    <x v="1"/>
  </r>
  <r>
    <n v="28672"/>
    <x v="1"/>
    <x v="1"/>
    <n v="70000"/>
    <x v="5"/>
    <x v="4"/>
    <x v="2"/>
    <x v="0"/>
    <x v="0"/>
    <x v="1"/>
    <x v="2"/>
    <n v="35"/>
    <x v="0"/>
    <x v="1"/>
  </r>
  <r>
    <n v="11809"/>
    <x v="0"/>
    <x v="1"/>
    <n v="60000"/>
    <x v="4"/>
    <x v="0"/>
    <x v="0"/>
    <x v="0"/>
    <x v="0"/>
    <x v="0"/>
    <x v="2"/>
    <n v="38"/>
    <x v="0"/>
    <x v="1"/>
  </r>
  <r>
    <n v="19664"/>
    <x v="1"/>
    <x v="1"/>
    <n v="100000"/>
    <x v="1"/>
    <x v="0"/>
    <x v="4"/>
    <x v="1"/>
    <x v="4"/>
    <x v="3"/>
    <x v="2"/>
    <n v="38"/>
    <x v="0"/>
    <x v="0"/>
  </r>
  <r>
    <n v="12121"/>
    <x v="1"/>
    <x v="1"/>
    <n v="60000"/>
    <x v="1"/>
    <x v="2"/>
    <x v="2"/>
    <x v="0"/>
    <x v="2"/>
    <x v="4"/>
    <x v="2"/>
    <n v="53"/>
    <x v="0"/>
    <x v="1"/>
  </r>
  <r>
    <n v="13507"/>
    <x v="0"/>
    <x v="0"/>
    <n v="10000"/>
    <x v="4"/>
    <x v="1"/>
    <x v="3"/>
    <x v="0"/>
    <x v="0"/>
    <x v="3"/>
    <x v="0"/>
    <n v="50"/>
    <x v="0"/>
    <x v="0"/>
  </r>
  <r>
    <n v="19280"/>
    <x v="0"/>
    <x v="1"/>
    <n v="120000"/>
    <x v="4"/>
    <x v="1"/>
    <x v="3"/>
    <x v="0"/>
    <x v="1"/>
    <x v="0"/>
    <x v="0"/>
    <n v="40"/>
    <x v="0"/>
    <x v="1"/>
  </r>
  <r>
    <n v="22173"/>
    <x v="0"/>
    <x v="0"/>
    <n v="30000"/>
    <x v="1"/>
    <x v="2"/>
    <x v="0"/>
    <x v="1"/>
    <x v="2"/>
    <x v="3"/>
    <x v="1"/>
    <n v="54"/>
    <x v="0"/>
    <x v="1"/>
  </r>
  <r>
    <n v="12697"/>
    <x v="1"/>
    <x v="0"/>
    <n v="90000"/>
    <x v="3"/>
    <x v="0"/>
    <x v="2"/>
    <x v="1"/>
    <x v="3"/>
    <x v="4"/>
    <x v="1"/>
    <n v="36"/>
    <x v="0"/>
    <x v="0"/>
  </r>
  <r>
    <n v="11434"/>
    <x v="0"/>
    <x v="1"/>
    <n v="170000"/>
    <x v="2"/>
    <x v="1"/>
    <x v="2"/>
    <x v="0"/>
    <x v="0"/>
    <x v="0"/>
    <x v="0"/>
    <n v="55"/>
    <x v="0"/>
    <x v="0"/>
  </r>
  <r>
    <n v="25323"/>
    <x v="0"/>
    <x v="1"/>
    <n v="40000"/>
    <x v="4"/>
    <x v="1"/>
    <x v="1"/>
    <x v="0"/>
    <x v="1"/>
    <x v="3"/>
    <x v="0"/>
    <n v="35"/>
    <x v="0"/>
    <x v="1"/>
  </r>
  <r>
    <n v="23542"/>
    <x v="1"/>
    <x v="1"/>
    <n v="60000"/>
    <x v="0"/>
    <x v="1"/>
    <x v="0"/>
    <x v="1"/>
    <x v="1"/>
    <x v="0"/>
    <x v="1"/>
    <n v="45"/>
    <x v="0"/>
    <x v="1"/>
  </r>
  <r>
    <n v="20870"/>
    <x v="1"/>
    <x v="0"/>
    <n v="10000"/>
    <x v="4"/>
    <x v="2"/>
    <x v="3"/>
    <x v="0"/>
    <x v="1"/>
    <x v="0"/>
    <x v="0"/>
    <n v="38"/>
    <x v="0"/>
    <x v="1"/>
  </r>
  <r>
    <n v="23316"/>
    <x v="1"/>
    <x v="1"/>
    <n v="30000"/>
    <x v="1"/>
    <x v="1"/>
    <x v="1"/>
    <x v="1"/>
    <x v="2"/>
    <x v="3"/>
    <x v="1"/>
    <n v="59"/>
    <x v="1"/>
    <x v="1"/>
  </r>
  <r>
    <n v="12610"/>
    <x v="0"/>
    <x v="0"/>
    <n v="30000"/>
    <x v="0"/>
    <x v="0"/>
    <x v="1"/>
    <x v="0"/>
    <x v="0"/>
    <x v="0"/>
    <x v="0"/>
    <n v="47"/>
    <x v="0"/>
    <x v="0"/>
  </r>
  <r>
    <n v="27183"/>
    <x v="1"/>
    <x v="1"/>
    <n v="40000"/>
    <x v="4"/>
    <x v="1"/>
    <x v="1"/>
    <x v="0"/>
    <x v="1"/>
    <x v="3"/>
    <x v="0"/>
    <n v="35"/>
    <x v="0"/>
    <x v="1"/>
  </r>
  <r>
    <n v="25940"/>
    <x v="1"/>
    <x v="1"/>
    <n v="20000"/>
    <x v="4"/>
    <x v="3"/>
    <x v="1"/>
    <x v="0"/>
    <x v="2"/>
    <x v="2"/>
    <x v="1"/>
    <n v="55"/>
    <x v="0"/>
    <x v="1"/>
  </r>
  <r>
    <n v="25598"/>
    <x v="0"/>
    <x v="0"/>
    <n v="40000"/>
    <x v="3"/>
    <x v="4"/>
    <x v="1"/>
    <x v="0"/>
    <x v="0"/>
    <x v="0"/>
    <x v="0"/>
    <n v="36"/>
    <x v="0"/>
    <x v="1"/>
  </r>
  <r>
    <n v="21564"/>
    <x v="1"/>
    <x v="0"/>
    <n v="80000"/>
    <x v="3"/>
    <x v="0"/>
    <x v="2"/>
    <x v="0"/>
    <x v="3"/>
    <x v="4"/>
    <x v="1"/>
    <n v="35"/>
    <x v="0"/>
    <x v="0"/>
  </r>
  <r>
    <n v="19193"/>
    <x v="1"/>
    <x v="1"/>
    <n v="40000"/>
    <x v="4"/>
    <x v="1"/>
    <x v="1"/>
    <x v="0"/>
    <x v="0"/>
    <x v="3"/>
    <x v="0"/>
    <n v="35"/>
    <x v="0"/>
    <x v="1"/>
  </r>
  <r>
    <n v="26412"/>
    <x v="0"/>
    <x v="0"/>
    <n v="80000"/>
    <x v="2"/>
    <x v="2"/>
    <x v="4"/>
    <x v="1"/>
    <x v="4"/>
    <x v="2"/>
    <x v="0"/>
    <n v="56"/>
    <x v="1"/>
    <x v="0"/>
  </r>
  <r>
    <n v="27184"/>
    <x v="1"/>
    <x v="1"/>
    <n v="40000"/>
    <x v="4"/>
    <x v="1"/>
    <x v="1"/>
    <x v="1"/>
    <x v="1"/>
    <x v="0"/>
    <x v="0"/>
    <n v="34"/>
    <x v="0"/>
    <x v="0"/>
  </r>
  <r>
    <n v="12590"/>
    <x v="1"/>
    <x v="1"/>
    <n v="30000"/>
    <x v="0"/>
    <x v="0"/>
    <x v="1"/>
    <x v="0"/>
    <x v="0"/>
    <x v="0"/>
    <x v="0"/>
    <n v="63"/>
    <x v="1"/>
    <x v="0"/>
  </r>
  <r>
    <n v="17841"/>
    <x v="1"/>
    <x v="1"/>
    <n v="30000"/>
    <x v="3"/>
    <x v="1"/>
    <x v="1"/>
    <x v="1"/>
    <x v="1"/>
    <x v="0"/>
    <x v="0"/>
    <n v="29"/>
    <x v="2"/>
    <x v="1"/>
  </r>
  <r>
    <n v="18283"/>
    <x v="1"/>
    <x v="0"/>
    <n v="100000"/>
    <x v="3"/>
    <x v="0"/>
    <x v="2"/>
    <x v="1"/>
    <x v="1"/>
    <x v="2"/>
    <x v="1"/>
    <n v="40"/>
    <x v="0"/>
    <x v="0"/>
  </r>
  <r>
    <n v="18299"/>
    <x v="0"/>
    <x v="1"/>
    <n v="70000"/>
    <x v="2"/>
    <x v="1"/>
    <x v="0"/>
    <x v="0"/>
    <x v="2"/>
    <x v="2"/>
    <x v="1"/>
    <n v="44"/>
    <x v="0"/>
    <x v="0"/>
  </r>
  <r>
    <n v="16466"/>
    <x v="1"/>
    <x v="0"/>
    <n v="20000"/>
    <x v="3"/>
    <x v="3"/>
    <x v="3"/>
    <x v="1"/>
    <x v="2"/>
    <x v="0"/>
    <x v="0"/>
    <n v="32"/>
    <x v="0"/>
    <x v="1"/>
  </r>
  <r>
    <n v="19273"/>
    <x v="0"/>
    <x v="0"/>
    <n v="20000"/>
    <x v="4"/>
    <x v="1"/>
    <x v="3"/>
    <x v="0"/>
    <x v="0"/>
    <x v="0"/>
    <x v="0"/>
    <n v="63"/>
    <x v="1"/>
    <x v="0"/>
  </r>
  <r>
    <n v="22400"/>
    <x v="0"/>
    <x v="1"/>
    <n v="10000"/>
    <x v="3"/>
    <x v="1"/>
    <x v="3"/>
    <x v="1"/>
    <x v="1"/>
    <x v="0"/>
    <x v="1"/>
    <n v="26"/>
    <x v="2"/>
    <x v="1"/>
  </r>
  <r>
    <n v="20942"/>
    <x v="1"/>
    <x v="0"/>
    <n v="20000"/>
    <x v="3"/>
    <x v="2"/>
    <x v="3"/>
    <x v="1"/>
    <x v="1"/>
    <x v="2"/>
    <x v="0"/>
    <n v="31"/>
    <x v="0"/>
    <x v="0"/>
  </r>
  <r>
    <n v="18484"/>
    <x v="1"/>
    <x v="1"/>
    <n v="80000"/>
    <x v="4"/>
    <x v="2"/>
    <x v="0"/>
    <x v="1"/>
    <x v="2"/>
    <x v="3"/>
    <x v="1"/>
    <n v="50"/>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s v="Married"/>
    <x v="0"/>
    <n v="40000"/>
    <n v="1"/>
    <s v="Bachelors"/>
    <s v="Skilled Manual"/>
    <s v="Yes"/>
    <n v="0"/>
    <s v="0-1 Miles"/>
    <s v="Europe"/>
    <n v="42"/>
    <s v="Middle Age"/>
    <x v="0"/>
  </r>
  <r>
    <n v="24107"/>
    <s v="Married"/>
    <x v="1"/>
    <n v="30000"/>
    <n v="3"/>
    <s v="Partial College"/>
    <s v="Clerical"/>
    <s v="Yes"/>
    <n v="1"/>
    <s v="0-1 Miles"/>
    <s v="Europe"/>
    <n v="43"/>
    <s v="Middle Age"/>
    <x v="0"/>
  </r>
  <r>
    <n v="14177"/>
    <s v="Married"/>
    <x v="1"/>
    <n v="80000"/>
    <n v="5"/>
    <s v="Partial College"/>
    <s v="Professional"/>
    <s v="No"/>
    <n v="2"/>
    <s v="2-5 Miles"/>
    <s v="Europe"/>
    <n v="60"/>
    <s v="OLD"/>
    <x v="0"/>
  </r>
  <r>
    <n v="24381"/>
    <s v="Single"/>
    <x v="1"/>
    <n v="70000"/>
    <n v="0"/>
    <s v="Bachelors"/>
    <s v="Professional"/>
    <s v="Yes"/>
    <n v="1"/>
    <s v="5-10 Miles"/>
    <s v="Pacific"/>
    <n v="41"/>
    <s v="Middle Age"/>
    <x v="1"/>
  </r>
  <r>
    <n v="25597"/>
    <s v="Single"/>
    <x v="1"/>
    <n v="30000"/>
    <n v="0"/>
    <s v="Bachelors"/>
    <s v="Clerical"/>
    <s v="No"/>
    <n v="0"/>
    <s v="0-1 Miles"/>
    <s v="Europe"/>
    <n v="36"/>
    <s v="Middle Age"/>
    <x v="1"/>
  </r>
  <r>
    <n v="13507"/>
    <s v="Married"/>
    <x v="0"/>
    <n v="10000"/>
    <n v="2"/>
    <s v="Partial College"/>
    <s v="Manual"/>
    <s v="Yes"/>
    <n v="0"/>
    <s v="1-2 Miles"/>
    <s v="Europe"/>
    <n v="50"/>
    <s v="Middle Age"/>
    <x v="0"/>
  </r>
  <r>
    <n v="27974"/>
    <s v="Single"/>
    <x v="1"/>
    <n v="160000"/>
    <n v="2"/>
    <s v="High School"/>
    <s v="Management"/>
    <s v="Yes"/>
    <n v="4"/>
    <s v="0-1 Miles"/>
    <s v="Pacific"/>
    <n v="33"/>
    <s v="Middle Age"/>
    <x v="1"/>
  </r>
  <r>
    <n v="19364"/>
    <s v="Married"/>
    <x v="1"/>
    <n v="40000"/>
    <n v="1"/>
    <s v="Bachelors"/>
    <s v="Skilled Manual"/>
    <s v="Yes"/>
    <n v="0"/>
    <s v="0-1 Miles"/>
    <s v="Europe"/>
    <n v="43"/>
    <s v="Middle Age"/>
    <x v="1"/>
  </r>
  <r>
    <n v="22155"/>
    <s v="Married"/>
    <x v="1"/>
    <n v="20000"/>
    <n v="2"/>
    <s v="Partial High School"/>
    <s v="Clerical"/>
    <s v="Yes"/>
    <n v="2"/>
    <s v="5-10 Miles"/>
    <s v="Pacific"/>
    <n v="58"/>
    <s v="OLD"/>
    <x v="0"/>
  </r>
  <r>
    <n v="19280"/>
    <s v="Married"/>
    <x v="1"/>
    <n v="120000"/>
    <n v="2"/>
    <s v="Partial College"/>
    <s v="Manual"/>
    <s v="Yes"/>
    <n v="1"/>
    <s v="0-1 Miles"/>
    <s v="Europe"/>
    <n v="40"/>
    <s v="Middle Age"/>
    <x v="1"/>
  </r>
  <r>
    <n v="22173"/>
    <s v="Married"/>
    <x v="0"/>
    <n v="30000"/>
    <n v="3"/>
    <s v="High School"/>
    <s v="Skilled Manual"/>
    <s v="No"/>
    <n v="2"/>
    <s v="1-2 Miles"/>
    <s v="Pacific"/>
    <n v="54"/>
    <s v="Middle Age"/>
    <x v="1"/>
  </r>
  <r>
    <n v="12697"/>
    <s v="Single"/>
    <x v="0"/>
    <n v="90000"/>
    <n v="0"/>
    <s v="Bachelors"/>
    <s v="Professional"/>
    <s v="No"/>
    <n v="4"/>
    <s v="more than 10 miles"/>
    <s v="Pacific"/>
    <n v="36"/>
    <s v="Middle Age"/>
    <x v="0"/>
  </r>
  <r>
    <n v="11434"/>
    <s v="Married"/>
    <x v="1"/>
    <n v="170000"/>
    <n v="5"/>
    <s v="Partial College"/>
    <s v="Professional"/>
    <s v="Yes"/>
    <n v="0"/>
    <s v="0-1 Miles"/>
    <s v="Europe"/>
    <n v="55"/>
    <s v="Middle Age"/>
    <x v="0"/>
  </r>
  <r>
    <n v="25323"/>
    <s v="Married"/>
    <x v="1"/>
    <n v="40000"/>
    <n v="2"/>
    <s v="Partial College"/>
    <s v="Clerical"/>
    <s v="Yes"/>
    <n v="1"/>
    <s v="1-2 Miles"/>
    <s v="Europe"/>
    <n v="35"/>
    <s v="Middle Age"/>
    <x v="1"/>
  </r>
  <r>
    <n v="23542"/>
    <s v="Single"/>
    <x v="1"/>
    <n v="60000"/>
    <n v="1"/>
    <s v="Partial College"/>
    <s v="Skilled Manual"/>
    <s v="No"/>
    <n v="1"/>
    <s v="0-1 Miles"/>
    <s v="Pacific"/>
    <n v="45"/>
    <s v="Middle Age"/>
    <x v="1"/>
  </r>
  <r>
    <n v="20870"/>
    <s v="Single"/>
    <x v="0"/>
    <n v="10000"/>
    <n v="2"/>
    <s v="High School"/>
    <s v="Manual"/>
    <s v="Yes"/>
    <n v="1"/>
    <s v="0-1 Miles"/>
    <s v="Europe"/>
    <n v="38"/>
    <s v="Middle Age"/>
    <x v="1"/>
  </r>
  <r>
    <n v="23316"/>
    <s v="Single"/>
    <x v="1"/>
    <n v="30000"/>
    <n v="3"/>
    <s v="Partial College"/>
    <s v="Clerical"/>
    <s v="No"/>
    <n v="2"/>
    <s v="1-2 Miles"/>
    <s v="Pacific"/>
    <n v="59"/>
    <s v="OLD"/>
    <x v="1"/>
  </r>
  <r>
    <n v="12610"/>
    <s v="Married"/>
    <x v="0"/>
    <n v="30000"/>
    <n v="1"/>
    <s v="Bachelors"/>
    <s v="Clerical"/>
    <s v="Yes"/>
    <n v="0"/>
    <s v="0-1 Miles"/>
    <s v="Europe"/>
    <n v="47"/>
    <s v="Middle Age"/>
    <x v="0"/>
  </r>
  <r>
    <n v="27183"/>
    <s v="Single"/>
    <x v="1"/>
    <n v="40000"/>
    <n v="2"/>
    <s v="Partial College"/>
    <s v="Clerical"/>
    <s v="Yes"/>
    <n v="1"/>
    <s v="1-2 Miles"/>
    <s v="Europe"/>
    <n v="35"/>
    <s v="Middle Age"/>
    <x v="1"/>
  </r>
  <r>
    <n v="25940"/>
    <s v="Single"/>
    <x v="1"/>
    <n v="20000"/>
    <n v="2"/>
    <s v="Partial High School"/>
    <s v="Clerical"/>
    <s v="Yes"/>
    <n v="2"/>
    <s v="5-10 Miles"/>
    <s v="Pacific"/>
    <n v="55"/>
    <s v="Middle Age"/>
    <x v="1"/>
  </r>
  <r>
    <n v="25598"/>
    <s v="Married"/>
    <x v="0"/>
    <n v="40000"/>
    <n v="0"/>
    <s v="Graduate Degree"/>
    <s v="Clerical"/>
    <s v="Yes"/>
    <n v="0"/>
    <s v="0-1 Miles"/>
    <s v="Europe"/>
    <n v="36"/>
    <s v="Middle Age"/>
    <x v="1"/>
  </r>
  <r>
    <n v="21564"/>
    <s v="Single"/>
    <x v="0"/>
    <n v="80000"/>
    <n v="0"/>
    <s v="Bachelors"/>
    <s v="Professional"/>
    <s v="Yes"/>
    <n v="4"/>
    <s v="more than 10 miles"/>
    <s v="Pacific"/>
    <n v="35"/>
    <s v="Middle Age"/>
    <x v="0"/>
  </r>
  <r>
    <n v="19193"/>
    <s v="Single"/>
    <x v="1"/>
    <n v="40000"/>
    <n v="2"/>
    <s v="Partial College"/>
    <s v="Clerical"/>
    <s v="Yes"/>
    <n v="0"/>
    <s v="1-2 Miles"/>
    <s v="Europe"/>
    <n v="35"/>
    <s v="Middle Age"/>
    <x v="1"/>
  </r>
  <r>
    <n v="26412"/>
    <s v="Married"/>
    <x v="0"/>
    <n v="80000"/>
    <n v="5"/>
    <s v="High School"/>
    <s v="Management"/>
    <s v="No"/>
    <n v="3"/>
    <s v="5-10 Miles"/>
    <s v="Europe"/>
    <n v="56"/>
    <s v="OLD"/>
    <x v="0"/>
  </r>
  <r>
    <n v="27184"/>
    <s v="Single"/>
    <x v="1"/>
    <n v="40000"/>
    <n v="2"/>
    <s v="Partial College"/>
    <s v="Clerical"/>
    <s v="No"/>
    <n v="1"/>
    <s v="0-1 Miles"/>
    <s v="Europe"/>
    <n v="34"/>
    <s v="Middle Age"/>
    <x v="0"/>
  </r>
  <r>
    <n v="12590"/>
    <s v="Single"/>
    <x v="1"/>
    <n v="30000"/>
    <n v="1"/>
    <s v="Bachelors"/>
    <s v="Clerical"/>
    <s v="Yes"/>
    <n v="0"/>
    <s v="0-1 Miles"/>
    <s v="Europe"/>
    <n v="63"/>
    <s v="OLD"/>
    <x v="0"/>
  </r>
  <r>
    <n v="17841"/>
    <s v="Single"/>
    <x v="1"/>
    <n v="30000"/>
    <n v="0"/>
    <s v="Partial College"/>
    <s v="Clerical"/>
    <s v="No"/>
    <n v="1"/>
    <s v="0-1 Miles"/>
    <s v="Europe"/>
    <n v="29"/>
    <s v="Adolesent"/>
    <x v="1"/>
  </r>
  <r>
    <n v="18283"/>
    <s v="Single"/>
    <x v="0"/>
    <n v="100000"/>
    <n v="0"/>
    <s v="Bachelors"/>
    <s v="Professional"/>
    <s v="No"/>
    <n v="1"/>
    <s v="5-10 Miles"/>
    <s v="Pacific"/>
    <n v="40"/>
    <s v="Middle Age"/>
    <x v="0"/>
  </r>
  <r>
    <n v="18299"/>
    <s v="Married"/>
    <x v="1"/>
    <n v="70000"/>
    <n v="5"/>
    <s v="Partial College"/>
    <s v="Skilled Manual"/>
    <s v="Yes"/>
    <n v="2"/>
    <s v="5-10 Miles"/>
    <s v="Pacific"/>
    <n v="44"/>
    <s v="Middle Age"/>
    <x v="0"/>
  </r>
  <r>
    <n v="16466"/>
    <s v="Single"/>
    <x v="0"/>
    <n v="20000"/>
    <n v="0"/>
    <s v="Partial High School"/>
    <s v="Manual"/>
    <s v="No"/>
    <n v="2"/>
    <s v="0-1 Miles"/>
    <s v="Europe"/>
    <n v="32"/>
    <s v="Middle Age"/>
    <x v="1"/>
  </r>
  <r>
    <n v="19273"/>
    <s v="Married"/>
    <x v="0"/>
    <n v="20000"/>
    <n v="2"/>
    <s v="Partial College"/>
    <s v="Manual"/>
    <s v="Yes"/>
    <n v="0"/>
    <s v="0-1 Miles"/>
    <s v="Europe"/>
    <n v="63"/>
    <s v="OLD"/>
    <x v="0"/>
  </r>
  <r>
    <n v="22400"/>
    <s v="Married"/>
    <x v="1"/>
    <n v="10000"/>
    <n v="0"/>
    <s v="Partial College"/>
    <s v="Manual"/>
    <s v="No"/>
    <n v="1"/>
    <s v="0-1 Miles"/>
    <s v="Pacific"/>
    <n v="26"/>
    <s v="Adolesent"/>
    <x v="1"/>
  </r>
  <r>
    <n v="20942"/>
    <s v="Single"/>
    <x v="0"/>
    <n v="20000"/>
    <n v="0"/>
    <s v="High School"/>
    <s v="Manual"/>
    <s v="No"/>
    <n v="1"/>
    <s v="5-10 Miles"/>
    <s v="Europe"/>
    <n v="31"/>
    <s v="Middle Age"/>
    <x v="0"/>
  </r>
  <r>
    <n v="18484"/>
    <s v="Single"/>
    <x v="1"/>
    <n v="80000"/>
    <n v="2"/>
    <s v="High School"/>
    <s v="Skilled Manual"/>
    <s v="No"/>
    <n v="2"/>
    <s v="1-2 Miles"/>
    <s v="Pacific"/>
    <n v="50"/>
    <s v="Middle Age"/>
    <x v="1"/>
  </r>
  <r>
    <n v="12291"/>
    <s v="Single"/>
    <x v="1"/>
    <n v="90000"/>
    <n v="5"/>
    <s v="Partial College"/>
    <s v="Professional"/>
    <s v="No"/>
    <n v="2"/>
    <s v="2-5 Miles"/>
    <s v="Europe"/>
    <n v="62"/>
    <s v="OLD"/>
    <x v="1"/>
  </r>
  <r>
    <n v="28380"/>
    <s v="Single"/>
    <x v="0"/>
    <n v="10000"/>
    <n v="5"/>
    <s v="Partial High School"/>
    <s v="Manual"/>
    <s v="No"/>
    <n v="2"/>
    <s v="0-1 Miles"/>
    <s v="Europe"/>
    <n v="41"/>
    <s v="Middle Age"/>
    <x v="0"/>
  </r>
  <r>
    <n v="17891"/>
    <s v="Married"/>
    <x v="0"/>
    <n v="10000"/>
    <n v="2"/>
    <s v="Partial College"/>
    <s v="Manual"/>
    <s v="Yes"/>
    <n v="1"/>
    <s v="0-1 Miles"/>
    <s v="Europe"/>
    <n v="50"/>
    <s v="Middle Age"/>
    <x v="1"/>
  </r>
  <r>
    <n v="27832"/>
    <s v="Single"/>
    <x v="0"/>
    <n v="30000"/>
    <n v="0"/>
    <s v="Partial College"/>
    <s v="Clerical"/>
    <s v="No"/>
    <n v="1"/>
    <s v="2-5 Miles"/>
    <s v="Europe"/>
    <n v="30"/>
    <s v="Adolesent"/>
    <x v="0"/>
  </r>
  <r>
    <n v="26863"/>
    <s v="Single"/>
    <x v="1"/>
    <n v="20000"/>
    <n v="0"/>
    <s v="High School"/>
    <s v="Manual"/>
    <s v="No"/>
    <n v="1"/>
    <s v="2-5 Miles"/>
    <s v="Europe"/>
    <n v="28"/>
    <s v="Adolesent"/>
    <x v="0"/>
  </r>
  <r>
    <n v="16259"/>
    <s v="Single"/>
    <x v="0"/>
    <n v="10000"/>
    <n v="4"/>
    <s v="Partial High School"/>
    <s v="Manual"/>
    <s v="Yes"/>
    <n v="2"/>
    <s v="0-1 Miles"/>
    <s v="Europe"/>
    <n v="40"/>
    <s v="Middle Age"/>
    <x v="1"/>
  </r>
  <r>
    <n v="27803"/>
    <s v="Single"/>
    <x v="0"/>
    <n v="30000"/>
    <n v="2"/>
    <s v="Partial College"/>
    <s v="Clerical"/>
    <s v="No"/>
    <n v="0"/>
    <s v="0-1 Miles"/>
    <s v="Europe"/>
    <n v="43"/>
    <s v="Middle Age"/>
    <x v="0"/>
  </r>
  <r>
    <n v="14347"/>
    <s v="Single"/>
    <x v="0"/>
    <n v="40000"/>
    <n v="2"/>
    <s v="Bachelors"/>
    <s v="Management"/>
    <s v="Yes"/>
    <n v="2"/>
    <s v="5-10 Miles"/>
    <s v="Pacific"/>
    <n v="65"/>
    <s v="OLD"/>
    <x v="1"/>
  </r>
  <r>
    <n v="17703"/>
    <s v="Married"/>
    <x v="0"/>
    <n v="10000"/>
    <n v="1"/>
    <s v="Graduate Degree"/>
    <s v="Manual"/>
    <s v="Yes"/>
    <n v="0"/>
    <s v="0-1 Miles"/>
    <s v="Europe"/>
    <n v="40"/>
    <s v="Middle Age"/>
    <x v="0"/>
  </r>
  <r>
    <n v="17185"/>
    <s v="Married"/>
    <x v="0"/>
    <n v="170000"/>
    <n v="4"/>
    <s v="Partial College"/>
    <s v="Professional"/>
    <s v="No"/>
    <n v="3"/>
    <s v="5-10 Miles"/>
    <s v="Europe"/>
    <n v="48"/>
    <s v="Middle Age"/>
    <x v="1"/>
  </r>
  <r>
    <n v="29380"/>
    <s v="Married"/>
    <x v="0"/>
    <n v="20000"/>
    <n v="3"/>
    <s v="High School"/>
    <s v="Manual"/>
    <s v="Yes"/>
    <n v="0"/>
    <s v="0-1 Miles"/>
    <s v="Europe"/>
    <n v="41"/>
    <s v="Middle Age"/>
    <x v="1"/>
  </r>
  <r>
    <n v="23986"/>
    <s v="Married"/>
    <x v="0"/>
    <n v="20000"/>
    <n v="1"/>
    <s v="Bachelors"/>
    <s v="Clerical"/>
    <s v="Yes"/>
    <n v="0"/>
    <s v="0-1 Miles"/>
    <s v="Europe"/>
    <n v="66"/>
    <s v="OLD"/>
    <x v="1"/>
  </r>
  <r>
    <n v="24466"/>
    <s v="Married"/>
    <x v="0"/>
    <n v="60000"/>
    <n v="1"/>
    <s v="Partial College"/>
    <s v="Skilled Manual"/>
    <s v="Yes"/>
    <n v="1"/>
    <s v="5-10 Miles"/>
    <s v="Pacific"/>
    <n v="46"/>
    <s v="Middle Age"/>
    <x v="1"/>
  </r>
  <r>
    <n v="29097"/>
    <s v="Single"/>
    <x v="0"/>
    <n v="40000"/>
    <n v="2"/>
    <s v="Partial College"/>
    <s v="Skilled Manual"/>
    <s v="Yes"/>
    <n v="2"/>
    <s v="5-10 Miles"/>
    <s v="Pacific"/>
    <n v="52"/>
    <s v="Middle Age"/>
    <x v="1"/>
  </r>
  <r>
    <n v="19487"/>
    <s v="Married"/>
    <x v="1"/>
    <n v="30000"/>
    <n v="2"/>
    <s v="Partial College"/>
    <s v="Clerical"/>
    <s v="No"/>
    <n v="2"/>
    <s v="0-1 Miles"/>
    <s v="Europe"/>
    <n v="42"/>
    <s v="Middle Age"/>
    <x v="0"/>
  </r>
  <r>
    <n v="14939"/>
    <s v="Single"/>
    <x v="1"/>
    <n v="40000"/>
    <n v="0"/>
    <s v="Bachelors"/>
    <s v="Clerical"/>
    <s v="Yes"/>
    <n v="0"/>
    <s v="0-1 Miles"/>
    <s v="Europe"/>
    <n v="39"/>
    <s v="Middle Age"/>
    <x v="1"/>
  </r>
  <r>
    <n v="13826"/>
    <s v="Single"/>
    <x v="0"/>
    <n v="30000"/>
    <n v="0"/>
    <s v="Partial College"/>
    <s v="Clerical"/>
    <s v="No"/>
    <n v="1"/>
    <s v="0-1 Miles"/>
    <s v="Europe"/>
    <n v="28"/>
    <s v="Adolesent"/>
    <x v="0"/>
  </r>
  <r>
    <n v="20619"/>
    <s v="Single"/>
    <x v="1"/>
    <n v="80000"/>
    <n v="0"/>
    <s v="Bachelors"/>
    <s v="Professional"/>
    <s v="No"/>
    <n v="4"/>
    <s v="more than 10 miles"/>
    <s v="Pacific"/>
    <n v="35"/>
    <s v="Middle Age"/>
    <x v="0"/>
  </r>
  <r>
    <n v="12558"/>
    <s v="Married"/>
    <x v="0"/>
    <n v="20000"/>
    <n v="1"/>
    <s v="Bachelors"/>
    <s v="Clerical"/>
    <s v="Yes"/>
    <n v="0"/>
    <s v="0-1 Miles"/>
    <s v="Europe"/>
    <n v="65"/>
    <s v="OLD"/>
    <x v="0"/>
  </r>
  <r>
    <n v="24871"/>
    <s v="Single"/>
    <x v="0"/>
    <n v="90000"/>
    <n v="4"/>
    <s v="High School"/>
    <s v="Management"/>
    <s v="No"/>
    <n v="3"/>
    <s v="5-10 Miles"/>
    <s v="Europe"/>
    <n v="56"/>
    <s v="OLD"/>
    <x v="0"/>
  </r>
  <r>
    <n v="17319"/>
    <s v="Single"/>
    <x v="0"/>
    <n v="70000"/>
    <n v="0"/>
    <s v="Bachelors"/>
    <s v="Professional"/>
    <s v="No"/>
    <n v="1"/>
    <s v="5-10 Miles"/>
    <s v="Pacific"/>
    <n v="42"/>
    <s v="Middle Age"/>
    <x v="0"/>
  </r>
  <r>
    <n v="28906"/>
    <s v="Married"/>
    <x v="1"/>
    <n v="80000"/>
    <n v="4"/>
    <s v="High School"/>
    <s v="Professional"/>
    <s v="Yes"/>
    <n v="2"/>
    <s v="more than 10 miles"/>
    <s v="Europe"/>
    <n v="54"/>
    <s v="Middle Age"/>
    <x v="0"/>
  </r>
  <r>
    <n v="12808"/>
    <s v="Married"/>
    <x v="1"/>
    <n v="40000"/>
    <n v="0"/>
    <s v="Bachelors"/>
    <s v="Clerical"/>
    <s v="Yes"/>
    <n v="0"/>
    <s v="0-1 Miles"/>
    <s v="Europe"/>
    <n v="38"/>
    <s v="Middle Age"/>
    <x v="1"/>
  </r>
  <r>
    <n v="20567"/>
    <s v="Married"/>
    <x v="1"/>
    <n v="130000"/>
    <n v="4"/>
    <s v="Partial College"/>
    <s v="Professional"/>
    <s v="No"/>
    <n v="4"/>
    <s v="5-10 Miles"/>
    <s v="Europe"/>
    <n v="61"/>
    <s v="OLD"/>
    <x v="1"/>
  </r>
  <r>
    <n v="25502"/>
    <s v="Married"/>
    <x v="0"/>
    <n v="40000"/>
    <n v="1"/>
    <s v="Bachelors"/>
    <s v="Skilled Manual"/>
    <s v="Yes"/>
    <n v="0"/>
    <s v="0-1 Miles"/>
    <s v="Europe"/>
    <n v="43"/>
    <s v="Middle Age"/>
    <x v="1"/>
  </r>
  <r>
    <n v="15580"/>
    <s v="Married"/>
    <x v="1"/>
    <n v="60000"/>
    <n v="2"/>
    <s v="Bachelors"/>
    <s v="Professional"/>
    <s v="Yes"/>
    <n v="1"/>
    <s v="2-5 Miles"/>
    <s v="Pacific"/>
    <n v="38"/>
    <s v="Middle Age"/>
    <x v="1"/>
  </r>
  <r>
    <n v="24185"/>
    <s v="Single"/>
    <x v="0"/>
    <n v="10000"/>
    <n v="1"/>
    <s v="High School"/>
    <s v="Manual"/>
    <s v="No"/>
    <n v="1"/>
    <s v="1-2 Miles"/>
    <s v="Europe"/>
    <n v="45"/>
    <s v="Middle Age"/>
    <x v="0"/>
  </r>
  <r>
    <n v="19291"/>
    <s v="Single"/>
    <x v="0"/>
    <n v="10000"/>
    <n v="2"/>
    <s v="High School"/>
    <s v="Manual"/>
    <s v="Yes"/>
    <n v="0"/>
    <s v="0-1 Miles"/>
    <s v="Europe"/>
    <n v="35"/>
    <s v="Middle Age"/>
    <x v="0"/>
  </r>
  <r>
    <n v="16713"/>
    <s v="Married"/>
    <x v="1"/>
    <n v="40000"/>
    <n v="2"/>
    <s v="Bachelors"/>
    <s v="Management"/>
    <s v="Yes"/>
    <n v="1"/>
    <s v="0-1 Miles"/>
    <s v="Pacific"/>
    <n v="52"/>
    <s v="Middle Age"/>
    <x v="1"/>
  </r>
  <r>
    <n v="16185"/>
    <s v="Single"/>
    <x v="1"/>
    <n v="60000"/>
    <n v="4"/>
    <s v="Bachelors"/>
    <s v="Professional"/>
    <s v="Yes"/>
    <n v="3"/>
    <s v="more than 10 miles"/>
    <s v="Pacific"/>
    <n v="41"/>
    <s v="Middle Age"/>
    <x v="0"/>
  </r>
  <r>
    <n v="14927"/>
    <s v="Married"/>
    <x v="0"/>
    <n v="30000"/>
    <n v="1"/>
    <s v="Bachelors"/>
    <s v="Clerical"/>
    <s v="Yes"/>
    <n v="0"/>
    <s v="0-1 Miles"/>
    <s v="Europe"/>
    <n v="37"/>
    <s v="Middle Age"/>
    <x v="1"/>
  </r>
  <r>
    <n v="29337"/>
    <s v="Single"/>
    <x v="1"/>
    <n v="30000"/>
    <n v="2"/>
    <s v="Partial College"/>
    <s v="Clerical"/>
    <s v="Yes"/>
    <n v="2"/>
    <s v="5-10 Miles"/>
    <s v="Pacific"/>
    <n v="68"/>
    <s v="OLD"/>
    <x v="0"/>
  </r>
  <r>
    <n v="29355"/>
    <s v="Married"/>
    <x v="0"/>
    <n v="40000"/>
    <n v="0"/>
    <s v="Graduate Degree"/>
    <s v="Clerical"/>
    <s v="Yes"/>
    <n v="0"/>
    <s v="0-1 Miles"/>
    <s v="Europe"/>
    <n v="37"/>
    <s v="Middle Age"/>
    <x v="1"/>
  </r>
  <r>
    <n v="25303"/>
    <s v="Single"/>
    <x v="1"/>
    <n v="30000"/>
    <n v="0"/>
    <s v="High School"/>
    <s v="Manual"/>
    <s v="Yes"/>
    <n v="1"/>
    <s v="2-5 Miles"/>
    <s v="Europe"/>
    <n v="33"/>
    <s v="Middle Age"/>
    <x v="1"/>
  </r>
  <r>
    <n v="14813"/>
    <s v="Single"/>
    <x v="0"/>
    <n v="20000"/>
    <n v="4"/>
    <s v="High School"/>
    <s v="Manual"/>
    <s v="Yes"/>
    <n v="1"/>
    <s v="0-1 Miles"/>
    <s v="Europe"/>
    <n v="43"/>
    <s v="Middle Age"/>
    <x v="1"/>
  </r>
  <r>
    <n v="16438"/>
    <s v="Married"/>
    <x v="0"/>
    <n v="10000"/>
    <n v="0"/>
    <s v="Partial High School"/>
    <s v="Manual"/>
    <s v="No"/>
    <n v="2"/>
    <s v="0-1 Miles"/>
    <s v="Europe"/>
    <n v="30"/>
    <s v="Adolesent"/>
    <x v="0"/>
  </r>
  <r>
    <n v="14238"/>
    <s v="Married"/>
    <x v="1"/>
    <n v="120000"/>
    <n v="0"/>
    <s v="Partial High School"/>
    <s v="Professional"/>
    <s v="Yes"/>
    <n v="4"/>
    <s v="more than 10 miles"/>
    <s v="Pacific"/>
    <n v="36"/>
    <s v="Middle Age"/>
    <x v="1"/>
  </r>
  <r>
    <n v="16200"/>
    <s v="Single"/>
    <x v="0"/>
    <n v="10000"/>
    <n v="0"/>
    <s v="Partial High School"/>
    <s v="Manual"/>
    <s v="No"/>
    <n v="2"/>
    <s v="0-1 Miles"/>
    <s v="Europe"/>
    <n v="35"/>
    <s v="Middle Age"/>
    <x v="0"/>
  </r>
  <r>
    <n v="24857"/>
    <s v="Married"/>
    <x v="0"/>
    <n v="130000"/>
    <n v="3"/>
    <s v="High School"/>
    <s v="Professional"/>
    <s v="Yes"/>
    <n v="4"/>
    <s v="0-1 Miles"/>
    <s v="Europe"/>
    <n v="52"/>
    <s v="Middle Age"/>
    <x v="0"/>
  </r>
  <r>
    <n v="26956"/>
    <s v="Single"/>
    <x v="0"/>
    <n v="20000"/>
    <n v="0"/>
    <s v="Partial College"/>
    <s v="Manual"/>
    <s v="No"/>
    <n v="1"/>
    <s v="2-5 Miles"/>
    <s v="Europe"/>
    <n v="36"/>
    <s v="Middle Age"/>
    <x v="1"/>
  </r>
  <r>
    <n v="14517"/>
    <s v="Married"/>
    <x v="0"/>
    <n v="20000"/>
    <n v="3"/>
    <s v="High School"/>
    <s v="Skilled Manual"/>
    <s v="No"/>
    <n v="2"/>
    <s v="1-2 Miles"/>
    <s v="Pacific"/>
    <n v="62"/>
    <s v="OLD"/>
    <x v="0"/>
  </r>
  <r>
    <n v="12678"/>
    <s v="Single"/>
    <x v="0"/>
    <n v="130000"/>
    <n v="4"/>
    <s v="High School"/>
    <s v="Management"/>
    <s v="Yes"/>
    <n v="4"/>
    <s v="0-1 Miles"/>
    <s v="Pacific"/>
    <n v="31"/>
    <s v="Middle Age"/>
    <x v="0"/>
  </r>
  <r>
    <n v="16188"/>
    <s v="Single"/>
    <x v="0"/>
    <n v="20000"/>
    <n v="0"/>
    <s v="Partial High School"/>
    <s v="Manual"/>
    <s v="No"/>
    <n v="2"/>
    <s v="1-2 Miles"/>
    <s v="Europe"/>
    <n v="26"/>
    <s v="Adolesent"/>
    <x v="0"/>
  </r>
  <r>
    <n v="27969"/>
    <s v="Married"/>
    <x v="1"/>
    <n v="80000"/>
    <n v="0"/>
    <s v="Bachelors"/>
    <s v="Professional"/>
    <s v="Yes"/>
    <n v="2"/>
    <s v="more than 10 miles"/>
    <s v="Pacific"/>
    <n v="29"/>
    <s v="Adolesent"/>
    <x v="1"/>
  </r>
  <r>
    <n v="15752"/>
    <s v="Married"/>
    <x v="1"/>
    <n v="80000"/>
    <n v="2"/>
    <s v="High School"/>
    <s v="Skilled Manual"/>
    <s v="No"/>
    <n v="2"/>
    <s v="1-2 Miles"/>
    <s v="Pacific"/>
    <n v="50"/>
    <s v="Middle Age"/>
    <x v="1"/>
  </r>
  <r>
    <n v="27745"/>
    <s v="Single"/>
    <x v="1"/>
    <n v="40000"/>
    <n v="2"/>
    <s v="Bachelors"/>
    <s v="Management"/>
    <s v="Yes"/>
    <n v="2"/>
    <s v="5-10 Miles"/>
    <s v="Pacific"/>
    <n v="63"/>
    <s v="OLD"/>
    <x v="1"/>
  </r>
  <r>
    <n v="20828"/>
    <s v="Married"/>
    <x v="0"/>
    <n v="30000"/>
    <n v="4"/>
    <s v="Graduate Degree"/>
    <s v="Clerical"/>
    <s v="Yes"/>
    <n v="0"/>
    <s v="0-1 Miles"/>
    <s v="Europe"/>
    <n v="45"/>
    <s v="Middle Age"/>
    <x v="1"/>
  </r>
  <r>
    <n v="19461"/>
    <s v="Single"/>
    <x v="0"/>
    <n v="10000"/>
    <n v="4"/>
    <s v="Partial High School"/>
    <s v="Manual"/>
    <s v="Yes"/>
    <n v="2"/>
    <s v="0-1 Miles"/>
    <s v="Europe"/>
    <n v="40"/>
    <s v="Middle Age"/>
    <x v="0"/>
  </r>
  <r>
    <n v="26941"/>
    <s v="Married"/>
    <x v="1"/>
    <n v="30000"/>
    <n v="0"/>
    <s v="Bachelors"/>
    <s v="Clerical"/>
    <s v="Yes"/>
    <n v="0"/>
    <s v="0-1 Miles"/>
    <s v="Europe"/>
    <n v="47"/>
    <s v="Middle Age"/>
    <x v="1"/>
  </r>
  <r>
    <n v="28412"/>
    <s v="Single"/>
    <x v="1"/>
    <n v="20000"/>
    <n v="0"/>
    <s v="High School"/>
    <s v="Manual"/>
    <s v="No"/>
    <n v="1"/>
    <s v="2-5 Miles"/>
    <s v="Europe"/>
    <n v="29"/>
    <s v="Adolesent"/>
    <x v="0"/>
  </r>
  <r>
    <n v="24485"/>
    <s v="Single"/>
    <x v="1"/>
    <n v="40000"/>
    <n v="2"/>
    <s v="Bachelors"/>
    <s v="Management"/>
    <s v="No"/>
    <n v="1"/>
    <s v="5-10 Miles"/>
    <s v="Pacific"/>
    <n v="52"/>
    <s v="Middle Age"/>
    <x v="1"/>
  </r>
  <r>
    <n v="16514"/>
    <s v="Single"/>
    <x v="1"/>
    <n v="10000"/>
    <n v="0"/>
    <s v="Partial College"/>
    <s v="Manual"/>
    <s v="Yes"/>
    <n v="1"/>
    <s v="1-2 Miles"/>
    <s v="Pacific"/>
    <n v="26"/>
    <s v="Adolesent"/>
    <x v="1"/>
  </r>
  <r>
    <n v="17191"/>
    <s v="Single"/>
    <x v="1"/>
    <n v="130000"/>
    <n v="3"/>
    <s v="Partial College"/>
    <s v="Professional"/>
    <s v="No"/>
    <n v="3"/>
    <s v="0-1 Miles"/>
    <s v="Europe"/>
    <n v="51"/>
    <s v="Middle Age"/>
    <x v="1"/>
  </r>
  <r>
    <n v="19608"/>
    <s v="Married"/>
    <x v="1"/>
    <n v="80000"/>
    <n v="5"/>
    <s v="Bachelors"/>
    <s v="Professional"/>
    <s v="Yes"/>
    <n v="4"/>
    <s v="1-2 Miles"/>
    <s v="Pacific"/>
    <n v="40"/>
    <s v="Middle Age"/>
    <x v="0"/>
  </r>
  <r>
    <n v="24119"/>
    <s v="Single"/>
    <x v="1"/>
    <n v="30000"/>
    <n v="0"/>
    <s v="Partial College"/>
    <s v="Clerical"/>
    <s v="No"/>
    <n v="1"/>
    <s v="2-5 Miles"/>
    <s v="Europe"/>
    <n v="29"/>
    <s v="Adolesent"/>
    <x v="0"/>
  </r>
  <r>
    <n v="25458"/>
    <s v="Married"/>
    <x v="1"/>
    <n v="20000"/>
    <n v="1"/>
    <s v="High School"/>
    <s v="Manual"/>
    <s v="No"/>
    <n v="1"/>
    <s v="1-2 Miles"/>
    <s v="Europe"/>
    <n v="40"/>
    <s v="Middle Age"/>
    <x v="1"/>
  </r>
  <r>
    <n v="26886"/>
    <s v="Single"/>
    <x v="0"/>
    <n v="30000"/>
    <n v="0"/>
    <s v="Partial College"/>
    <s v="Clerical"/>
    <s v="No"/>
    <n v="1"/>
    <s v="0-1 Miles"/>
    <s v="Europe"/>
    <n v="29"/>
    <s v="Adolesent"/>
    <x v="1"/>
  </r>
  <r>
    <n v="28436"/>
    <s v="Single"/>
    <x v="1"/>
    <n v="30000"/>
    <n v="0"/>
    <s v="Partial College"/>
    <s v="Clerical"/>
    <s v="No"/>
    <n v="1"/>
    <s v="0-1 Miles"/>
    <s v="Europe"/>
    <n v="30"/>
    <s v="Adolesent"/>
    <x v="1"/>
  </r>
  <r>
    <n v="19562"/>
    <s v="Single"/>
    <x v="0"/>
    <n v="60000"/>
    <n v="2"/>
    <s v="Bachelors"/>
    <s v="Professional"/>
    <s v="Yes"/>
    <n v="1"/>
    <s v="2-5 Miles"/>
    <s v="Pacific"/>
    <n v="37"/>
    <s v="Middle Age"/>
    <x v="1"/>
  </r>
  <r>
    <n v="15608"/>
    <s v="Single"/>
    <x v="0"/>
    <n v="30000"/>
    <n v="0"/>
    <s v="Partial College"/>
    <s v="Clerical"/>
    <s v="No"/>
    <n v="1"/>
    <s v="2-5 Miles"/>
    <s v="Europe"/>
    <n v="33"/>
    <s v="Middle Age"/>
    <x v="0"/>
  </r>
  <r>
    <n v="16487"/>
    <s v="Single"/>
    <x v="0"/>
    <n v="30000"/>
    <n v="3"/>
    <s v="High School"/>
    <s v="Skilled Manual"/>
    <s v="Yes"/>
    <n v="2"/>
    <s v="5-10 Miles"/>
    <s v="Pacific"/>
    <n v="55"/>
    <s v="Middle Age"/>
    <x v="0"/>
  </r>
  <r>
    <n v="17197"/>
    <s v="Single"/>
    <x v="0"/>
    <n v="90000"/>
    <n v="5"/>
    <s v="Partial College"/>
    <s v="Professional"/>
    <s v="Yes"/>
    <n v="2"/>
    <s v="more than 10 miles"/>
    <s v="Europe"/>
    <n v="62"/>
    <s v="OLD"/>
    <x v="0"/>
  </r>
  <r>
    <n v="12507"/>
    <s v="Married"/>
    <x v="1"/>
    <n v="30000"/>
    <n v="1"/>
    <s v="Partial College"/>
    <s v="Clerical"/>
    <s v="Yes"/>
    <n v="1"/>
    <s v="0-1 Miles"/>
    <s v="Europe"/>
    <n v="43"/>
    <s v="Middle Age"/>
    <x v="0"/>
  </r>
  <r>
    <n v="23940"/>
    <s v="Married"/>
    <x v="1"/>
    <n v="40000"/>
    <n v="1"/>
    <s v="Bachelors"/>
    <s v="Skilled Manual"/>
    <s v="Yes"/>
    <n v="1"/>
    <s v="0-1 Miles"/>
    <s v="Europe"/>
    <n v="44"/>
    <s v="Middle Age"/>
    <x v="1"/>
  </r>
  <r>
    <n v="19441"/>
    <s v="Married"/>
    <x v="1"/>
    <n v="40000"/>
    <n v="0"/>
    <s v="Graduate Degree"/>
    <s v="Clerical"/>
    <s v="Yes"/>
    <n v="0"/>
    <s v="0-1 Miles"/>
    <s v="Europe"/>
    <n v="25"/>
    <s v="Adolesent"/>
    <x v="1"/>
  </r>
  <r>
    <n v="26852"/>
    <s v="Married"/>
    <x v="0"/>
    <n v="20000"/>
    <n v="3"/>
    <s v="High School"/>
    <s v="Manual"/>
    <s v="Yes"/>
    <n v="2"/>
    <s v="0-1 Miles"/>
    <s v="Europe"/>
    <n v="43"/>
    <s v="Middle Age"/>
    <x v="0"/>
  </r>
  <r>
    <n v="12274"/>
    <s v="Single"/>
    <x v="1"/>
    <n v="10000"/>
    <n v="2"/>
    <s v="High School"/>
    <s v="Manual"/>
    <s v="Yes"/>
    <n v="0"/>
    <s v="0-1 Miles"/>
    <s v="Europe"/>
    <n v="35"/>
    <s v="Middle Age"/>
    <x v="0"/>
  </r>
  <r>
    <n v="20236"/>
    <s v="Single"/>
    <x v="1"/>
    <n v="60000"/>
    <n v="3"/>
    <s v="Bachelors"/>
    <s v="Professional"/>
    <s v="No"/>
    <n v="2"/>
    <s v="0-1 Miles"/>
    <s v="Pacific"/>
    <n v="43"/>
    <s v="Middle Age"/>
    <x v="1"/>
  </r>
  <r>
    <n v="24149"/>
    <s v="Married"/>
    <x v="1"/>
    <n v="10000"/>
    <n v="2"/>
    <s v="Partial College"/>
    <s v="Manual"/>
    <s v="Yes"/>
    <n v="0"/>
    <s v="1-2 Miles"/>
    <s v="Europe"/>
    <n v="49"/>
    <s v="Middle Age"/>
    <x v="0"/>
  </r>
  <r>
    <n v="26139"/>
    <s v="Single"/>
    <x v="1"/>
    <n v="60000"/>
    <n v="1"/>
    <s v="Partial College"/>
    <s v="Skilled Manual"/>
    <s v="Yes"/>
    <n v="1"/>
    <s v="5-10 Miles"/>
    <s v="Pacific"/>
    <n v="45"/>
    <s v="Middle Age"/>
    <x v="0"/>
  </r>
  <r>
    <n v="18491"/>
    <s v="Single"/>
    <x v="0"/>
    <n v="70000"/>
    <n v="2"/>
    <s v="High School"/>
    <s v="Professional"/>
    <s v="Yes"/>
    <n v="2"/>
    <s v="5-10 Miles"/>
    <s v="Pacific"/>
    <n v="49"/>
    <s v="Middle Age"/>
    <x v="1"/>
  </r>
  <r>
    <n v="22707"/>
    <s v="Single"/>
    <x v="0"/>
    <n v="30000"/>
    <n v="0"/>
    <s v="Partial College"/>
    <s v="Clerical"/>
    <s v="No"/>
    <n v="1"/>
    <s v="2-5 Miles"/>
    <s v="Europe"/>
    <n v="30"/>
    <s v="Adolesent"/>
    <x v="0"/>
  </r>
  <r>
    <n v="20430"/>
    <s v="Married"/>
    <x v="1"/>
    <n v="70000"/>
    <n v="2"/>
    <s v="Partial College"/>
    <s v="Skilled Manual"/>
    <s v="Yes"/>
    <n v="2"/>
    <s v="5-10 Miles"/>
    <s v="Pacific"/>
    <n v="52"/>
    <s v="Middle Age"/>
    <x v="1"/>
  </r>
  <r>
    <n v="27494"/>
    <s v="Single"/>
    <x v="0"/>
    <n v="40000"/>
    <n v="2"/>
    <s v="Partial College"/>
    <s v="Skilled Manual"/>
    <s v="No"/>
    <n v="2"/>
    <s v="1-2 Miles"/>
    <s v="Pacific"/>
    <n v="53"/>
    <s v="Middle Age"/>
    <x v="1"/>
  </r>
  <r>
    <n v="26829"/>
    <s v="Married"/>
    <x v="0"/>
    <n v="40000"/>
    <n v="0"/>
    <s v="Bachelors"/>
    <s v="Clerical"/>
    <s v="Yes"/>
    <n v="0"/>
    <s v="0-1 Miles"/>
    <s v="Europe"/>
    <n v="38"/>
    <s v="Middle Age"/>
    <x v="1"/>
  </r>
  <r>
    <n v="28395"/>
    <s v="Single"/>
    <x v="1"/>
    <n v="40000"/>
    <n v="0"/>
    <s v="Bachelors"/>
    <s v="Professional"/>
    <s v="No"/>
    <n v="0"/>
    <s v="0-1 Miles"/>
    <s v="Europe"/>
    <n v="39"/>
    <s v="Middle Age"/>
    <x v="1"/>
  </r>
  <r>
    <n v="21006"/>
    <s v="Single"/>
    <x v="0"/>
    <n v="30000"/>
    <n v="1"/>
    <s v="Partial College"/>
    <s v="Manual"/>
    <s v="No"/>
    <n v="0"/>
    <s v="0-1 Miles"/>
    <s v="Europe"/>
    <n v="46"/>
    <s v="Middle Age"/>
    <x v="1"/>
  </r>
  <r>
    <n v="14682"/>
    <s v="Single"/>
    <x v="0"/>
    <n v="70000"/>
    <n v="0"/>
    <s v="Bachelors"/>
    <s v="Professional"/>
    <s v="No"/>
    <n v="1"/>
    <s v="5-10 Miles"/>
    <s v="Pacific"/>
    <n v="38"/>
    <s v="Middle Age"/>
    <x v="0"/>
  </r>
  <r>
    <n v="17650"/>
    <s v="Single"/>
    <x v="0"/>
    <n v="40000"/>
    <n v="2"/>
    <s v="Partial College"/>
    <s v="Clerical"/>
    <s v="Yes"/>
    <n v="2"/>
    <s v="1-2 Miles"/>
    <s v="Europe"/>
    <n v="35"/>
    <s v="Middle Age"/>
    <x v="0"/>
  </r>
  <r>
    <n v="29191"/>
    <s v="Single"/>
    <x v="0"/>
    <n v="130000"/>
    <n v="1"/>
    <s v="Graduate Degree"/>
    <s v="Management"/>
    <s v="No"/>
    <n v="1"/>
    <s v="0-1 Miles"/>
    <s v="Pacific"/>
    <n v="36"/>
    <s v="Middle Age"/>
    <x v="1"/>
  </r>
  <r>
    <n v="15030"/>
    <s v="Married"/>
    <x v="1"/>
    <n v="20000"/>
    <n v="0"/>
    <s v="Bachelors"/>
    <s v="Clerical"/>
    <s v="Yes"/>
    <n v="0"/>
    <s v="0-1 Miles"/>
    <s v="Pacific"/>
    <n v="26"/>
    <s v="Adolesent"/>
    <x v="1"/>
  </r>
  <r>
    <n v="24140"/>
    <s v="Single"/>
    <x v="1"/>
    <n v="10000"/>
    <n v="0"/>
    <s v="Graduate Degree"/>
    <s v="Manual"/>
    <s v="No"/>
    <n v="0"/>
    <s v="0-1 Miles"/>
    <s v="Europe"/>
    <n v="30"/>
    <s v="Adolesent"/>
    <x v="1"/>
  </r>
  <r>
    <n v="22496"/>
    <s v="Married"/>
    <x v="0"/>
    <n v="30000"/>
    <n v="1"/>
    <s v="Bachelors"/>
    <s v="Skilled Manual"/>
    <s v="Yes"/>
    <n v="2"/>
    <s v="0-1 Miles"/>
    <s v="Europe"/>
    <n v="42"/>
    <s v="Middle Age"/>
    <x v="0"/>
  </r>
  <r>
    <n v="24065"/>
    <s v="Single"/>
    <x v="0"/>
    <n v="20000"/>
    <n v="0"/>
    <s v="High School"/>
    <s v="Manual"/>
    <s v="Yes"/>
    <n v="0"/>
    <s v="0-1 Miles"/>
    <s v="Europe"/>
    <n v="40"/>
    <s v="Middle Age"/>
    <x v="1"/>
  </r>
  <r>
    <n v="19914"/>
    <s v="Married"/>
    <x v="1"/>
    <n v="80000"/>
    <n v="5"/>
    <s v="Bachelors"/>
    <s v="Management"/>
    <s v="Yes"/>
    <n v="2"/>
    <s v="2-5 Miles"/>
    <s v="Europe"/>
    <n v="62"/>
    <s v="OLD"/>
    <x v="0"/>
  </r>
  <r>
    <n v="12871"/>
    <s v="Single"/>
    <x v="0"/>
    <n v="30000"/>
    <n v="0"/>
    <s v="Partial College"/>
    <s v="Clerical"/>
    <s v="No"/>
    <n v="1"/>
    <s v="2-5 Miles"/>
    <s v="Europe"/>
    <n v="29"/>
    <s v="Adolesent"/>
    <x v="0"/>
  </r>
  <r>
    <n v="22988"/>
    <s v="Married"/>
    <x v="0"/>
    <n v="40000"/>
    <n v="2"/>
    <s v="Bachelors"/>
    <s v="Management"/>
    <s v="Yes"/>
    <n v="2"/>
    <s v="5-10 Miles"/>
    <s v="Pacific"/>
    <n v="66"/>
    <s v="OLD"/>
    <x v="1"/>
  </r>
  <r>
    <n v="15922"/>
    <s v="Married"/>
    <x v="1"/>
    <n v="150000"/>
    <n v="2"/>
    <s v="High School"/>
    <s v="Professional"/>
    <s v="Yes"/>
    <n v="4"/>
    <s v="0-1 Miles"/>
    <s v="Europe"/>
    <n v="48"/>
    <s v="Middle Age"/>
    <x v="0"/>
  </r>
  <r>
    <n v="12344"/>
    <s v="Single"/>
    <x v="0"/>
    <n v="80000"/>
    <n v="0"/>
    <s v="Bachelors"/>
    <s v="Professional"/>
    <s v="No"/>
    <n v="3"/>
    <s v="more than 10 miles"/>
    <s v="Pacific"/>
    <n v="31"/>
    <s v="Middle Age"/>
    <x v="0"/>
  </r>
  <r>
    <n v="23627"/>
    <s v="Single"/>
    <x v="0"/>
    <n v="100000"/>
    <n v="3"/>
    <s v="Partial College"/>
    <s v="Management"/>
    <s v="No"/>
    <n v="4"/>
    <s v="5-10 Miles"/>
    <s v="Europe"/>
    <n v="56"/>
    <s v="OLD"/>
    <x v="0"/>
  </r>
  <r>
    <n v="27775"/>
    <s v="Single"/>
    <x v="0"/>
    <n v="40000"/>
    <n v="0"/>
    <s v="Bachelors"/>
    <s v="Clerical"/>
    <s v="No"/>
    <n v="0"/>
    <s v="0-1 Miles"/>
    <s v="Europe"/>
    <n v="38"/>
    <s v="Middle Age"/>
    <x v="1"/>
  </r>
  <r>
    <n v="29301"/>
    <s v="Married"/>
    <x v="1"/>
    <n v="80000"/>
    <n v="5"/>
    <s v="Bachelors"/>
    <s v="Professional"/>
    <s v="Yes"/>
    <n v="4"/>
    <s v="1-2 Miles"/>
    <s v="Pacific"/>
    <n v="40"/>
    <s v="Middle Age"/>
    <x v="0"/>
  </r>
  <r>
    <n v="12716"/>
    <s v="Single"/>
    <x v="1"/>
    <n v="30000"/>
    <n v="0"/>
    <s v="Partial College"/>
    <s v="Clerical"/>
    <s v="Yes"/>
    <n v="1"/>
    <s v="2-5 Miles"/>
    <s v="Europe"/>
    <n v="32"/>
    <s v="Middle Age"/>
    <x v="0"/>
  </r>
  <r>
    <n v="12472"/>
    <s v="Married"/>
    <x v="1"/>
    <n v="30000"/>
    <n v="1"/>
    <s v="Bachelors"/>
    <s v="Clerical"/>
    <s v="Yes"/>
    <n v="1"/>
    <s v="2-5 Miles"/>
    <s v="Europe"/>
    <n v="39"/>
    <s v="Middle Age"/>
    <x v="0"/>
  </r>
  <r>
    <n v="20970"/>
    <s v="Single"/>
    <x v="1"/>
    <n v="10000"/>
    <n v="2"/>
    <s v="Partial College"/>
    <s v="Manual"/>
    <s v="Yes"/>
    <n v="1"/>
    <s v="0-1 Miles"/>
    <s v="Europe"/>
    <n v="52"/>
    <s v="Middle Age"/>
    <x v="1"/>
  </r>
  <r>
    <n v="26818"/>
    <s v="Single"/>
    <x v="1"/>
    <n v="10000"/>
    <n v="3"/>
    <s v="High School"/>
    <s v="Manual"/>
    <s v="Yes"/>
    <n v="1"/>
    <s v="0-1 Miles"/>
    <s v="Europe"/>
    <n v="39"/>
    <s v="Middle Age"/>
    <x v="1"/>
  </r>
  <r>
    <n v="12993"/>
    <s v="Married"/>
    <x v="1"/>
    <n v="60000"/>
    <n v="2"/>
    <s v="Bachelors"/>
    <s v="Professional"/>
    <s v="Yes"/>
    <n v="1"/>
    <s v="2-5 Miles"/>
    <s v="Pacific"/>
    <n v="37"/>
    <s v="Middle Age"/>
    <x v="0"/>
  </r>
  <r>
    <n v="14192"/>
    <s v="Married"/>
    <x v="1"/>
    <n v="90000"/>
    <n v="4"/>
    <s v="High School"/>
    <s v="Management"/>
    <s v="Yes"/>
    <n v="3"/>
    <s v="5-10 Miles"/>
    <s v="Europe"/>
    <n v="56"/>
    <s v="OLD"/>
    <x v="1"/>
  </r>
  <r>
    <n v="19477"/>
    <s v="Married"/>
    <x v="1"/>
    <n v="40000"/>
    <n v="0"/>
    <s v="Bachelors"/>
    <s v="Professional"/>
    <s v="Yes"/>
    <n v="0"/>
    <s v="0-1 Miles"/>
    <s v="Europe"/>
    <n v="40"/>
    <s v="Middle Age"/>
    <x v="1"/>
  </r>
  <r>
    <n v="26796"/>
    <s v="Single"/>
    <x v="1"/>
    <n v="40000"/>
    <n v="2"/>
    <s v="Bachelors"/>
    <s v="Management"/>
    <s v="Yes"/>
    <n v="2"/>
    <s v="5-10 Miles"/>
    <s v="Pacific"/>
    <n v="65"/>
    <s v="OLD"/>
    <x v="1"/>
  </r>
  <r>
    <n v="21094"/>
    <s v="Single"/>
    <x v="0"/>
    <n v="30000"/>
    <n v="2"/>
    <s v="Partial College"/>
    <s v="Clerical"/>
    <s v="Yes"/>
    <n v="2"/>
    <s v="0-1 Miles"/>
    <s v="Europe"/>
    <n v="42"/>
    <s v="Middle Age"/>
    <x v="0"/>
  </r>
  <r>
    <n v="12234"/>
    <s v="Married"/>
    <x v="1"/>
    <n v="10000"/>
    <n v="2"/>
    <s v="Partial College"/>
    <s v="Manual"/>
    <s v="Yes"/>
    <n v="1"/>
    <s v="2-5 Miles"/>
    <s v="Europe"/>
    <n v="52"/>
    <s v="Middle Age"/>
    <x v="0"/>
  </r>
  <r>
    <n v="28683"/>
    <s v="Single"/>
    <x v="0"/>
    <n v="10000"/>
    <n v="1"/>
    <s v="High School"/>
    <s v="Manual"/>
    <s v="No"/>
    <n v="1"/>
    <s v="5-10 Miles"/>
    <s v="Europe"/>
    <n v="35"/>
    <s v="Middle Age"/>
    <x v="1"/>
  </r>
  <r>
    <n v="17994"/>
    <s v="Single"/>
    <x v="1"/>
    <n v="20000"/>
    <n v="2"/>
    <s v="High School"/>
    <s v="Manual"/>
    <s v="Yes"/>
    <n v="2"/>
    <s v="0-1 Miles"/>
    <s v="Europe"/>
    <n v="42"/>
    <s v="Middle Age"/>
    <x v="0"/>
  </r>
  <r>
    <n v="24273"/>
    <s v="Married"/>
    <x v="0"/>
    <n v="20000"/>
    <n v="2"/>
    <s v="Partial High School"/>
    <s v="Clerical"/>
    <s v="Yes"/>
    <n v="2"/>
    <s v="5-10 Miles"/>
    <s v="Pacific"/>
    <n v="55"/>
    <s v="Middle Age"/>
    <x v="1"/>
  </r>
  <r>
    <n v="26547"/>
    <s v="Single"/>
    <x v="0"/>
    <n v="30000"/>
    <n v="2"/>
    <s v="Partial College"/>
    <s v="Clerical"/>
    <s v="No"/>
    <n v="2"/>
    <s v="5-10 Miles"/>
    <s v="Pacific"/>
    <n v="60"/>
    <s v="OLD"/>
    <x v="1"/>
  </r>
  <r>
    <n v="22500"/>
    <s v="Single"/>
    <x v="1"/>
    <n v="40000"/>
    <n v="0"/>
    <s v="Bachelors"/>
    <s v="Professional"/>
    <s v="No"/>
    <n v="0"/>
    <s v="0-1 Miles"/>
    <s v="Europe"/>
    <n v="40"/>
    <s v="Middle Age"/>
    <x v="1"/>
  </r>
  <r>
    <n v="23993"/>
    <s v="Single"/>
    <x v="0"/>
    <n v="10000"/>
    <n v="0"/>
    <s v="Partial College"/>
    <s v="Manual"/>
    <s v="No"/>
    <n v="1"/>
    <s v="0-1 Miles"/>
    <s v="Pacific"/>
    <n v="26"/>
    <s v="Adolesent"/>
    <x v="1"/>
  </r>
  <r>
    <n v="14832"/>
    <s v="Married"/>
    <x v="1"/>
    <n v="40000"/>
    <n v="1"/>
    <s v="Bachelors"/>
    <s v="Skilled Manual"/>
    <s v="Yes"/>
    <n v="0"/>
    <s v="0-1 Miles"/>
    <s v="Europe"/>
    <n v="42"/>
    <s v="Middle Age"/>
    <x v="1"/>
  </r>
  <r>
    <n v="16614"/>
    <s v="Married"/>
    <x v="0"/>
    <n v="80000"/>
    <n v="0"/>
    <s v="Bachelors"/>
    <s v="Professional"/>
    <s v="Yes"/>
    <n v="3"/>
    <s v="more than 10 miles"/>
    <s v="Pacific"/>
    <n v="32"/>
    <s v="Middle Age"/>
    <x v="0"/>
  </r>
  <r>
    <n v="20877"/>
    <s v="Single"/>
    <x v="1"/>
    <n v="30000"/>
    <n v="1"/>
    <s v="Bachelors"/>
    <s v="Clerical"/>
    <s v="Yes"/>
    <n v="0"/>
    <s v="1-2 Miles"/>
    <s v="Europe"/>
    <n v="37"/>
    <s v="Middle Age"/>
    <x v="1"/>
  </r>
  <r>
    <n v="20729"/>
    <s v="Married"/>
    <x v="0"/>
    <n v="40000"/>
    <n v="2"/>
    <s v="Partial College"/>
    <s v="Clerical"/>
    <s v="No"/>
    <n v="1"/>
    <s v="0-1 Miles"/>
    <s v="Europe"/>
    <n v="34"/>
    <s v="Middle Age"/>
    <x v="0"/>
  </r>
  <r>
    <n v="22464"/>
    <s v="Married"/>
    <x v="1"/>
    <n v="40000"/>
    <n v="0"/>
    <s v="Graduate Degree"/>
    <s v="Clerical"/>
    <s v="Yes"/>
    <n v="0"/>
    <s v="0-1 Miles"/>
    <s v="Europe"/>
    <n v="37"/>
    <s v="Middle Age"/>
    <x v="1"/>
  </r>
  <r>
    <n v="19475"/>
    <s v="Married"/>
    <x v="0"/>
    <n v="40000"/>
    <n v="0"/>
    <s v="Bachelors"/>
    <s v="Professional"/>
    <s v="No"/>
    <n v="0"/>
    <s v="0-1 Miles"/>
    <s v="Europe"/>
    <n v="40"/>
    <s v="Middle Age"/>
    <x v="1"/>
  </r>
  <r>
    <n v="19675"/>
    <s v="Married"/>
    <x v="1"/>
    <n v="20000"/>
    <n v="4"/>
    <s v="High School"/>
    <s v="Skilled Manual"/>
    <s v="Yes"/>
    <n v="2"/>
    <s v="5-10 Miles"/>
    <s v="Pacific"/>
    <n v="60"/>
    <s v="OLD"/>
    <x v="0"/>
  </r>
  <r>
    <n v="12728"/>
    <s v="Single"/>
    <x v="1"/>
    <n v="30000"/>
    <n v="0"/>
    <s v="Partial College"/>
    <s v="Clerical"/>
    <s v="No"/>
    <n v="1"/>
    <s v="1-2 Miles"/>
    <s v="Europe"/>
    <n v="27"/>
    <s v="Adolesent"/>
    <x v="0"/>
  </r>
  <r>
    <n v="26154"/>
    <s v="Married"/>
    <x v="1"/>
    <n v="60000"/>
    <n v="1"/>
    <s v="Partial College"/>
    <s v="Skilled Manual"/>
    <s v="Yes"/>
    <n v="1"/>
    <s v="5-10 Miles"/>
    <s v="Pacific"/>
    <n v="43"/>
    <s v="Middle Age"/>
    <x v="1"/>
  </r>
  <r>
    <n v="29117"/>
    <s v="Single"/>
    <x v="1"/>
    <n v="100000"/>
    <n v="1"/>
    <s v="Bachelors"/>
    <s v="Management"/>
    <s v="No"/>
    <n v="3"/>
    <s v="0-1 Miles"/>
    <s v="Pacific"/>
    <n v="48"/>
    <s v="Middle Age"/>
    <x v="0"/>
  </r>
  <r>
    <n v="17845"/>
    <s v="Single"/>
    <x v="0"/>
    <n v="20000"/>
    <n v="0"/>
    <s v="Partial High School"/>
    <s v="Manual"/>
    <s v="No"/>
    <n v="2"/>
    <s v="1-2 Miles"/>
    <s v="Europe"/>
    <n v="32"/>
    <s v="Middle Age"/>
    <x v="0"/>
  </r>
  <r>
    <n v="25058"/>
    <s v="Married"/>
    <x v="1"/>
    <n v="100000"/>
    <n v="1"/>
    <s v="Bachelors"/>
    <s v="Management"/>
    <s v="Yes"/>
    <n v="3"/>
    <s v="2-5 Miles"/>
    <s v="Pacific"/>
    <n v="47"/>
    <s v="Middle Age"/>
    <x v="0"/>
  </r>
  <r>
    <n v="23426"/>
    <s v="Single"/>
    <x v="1"/>
    <n v="80000"/>
    <n v="5"/>
    <s v="Graduate Degree"/>
    <s v="Management"/>
    <s v="Yes"/>
    <n v="3"/>
    <s v="0-1 Miles"/>
    <s v="Pacific"/>
    <n v="40"/>
    <s v="Middle Age"/>
    <x v="0"/>
  </r>
  <r>
    <n v="14798"/>
    <s v="Single"/>
    <x v="0"/>
    <n v="10000"/>
    <n v="4"/>
    <s v="Partial High School"/>
    <s v="Manual"/>
    <s v="Yes"/>
    <n v="2"/>
    <s v="0-1 Miles"/>
    <s v="Europe"/>
    <n v="41"/>
    <s v="Middle Age"/>
    <x v="1"/>
  </r>
  <r>
    <n v="12664"/>
    <s v="Married"/>
    <x v="0"/>
    <n v="130000"/>
    <n v="5"/>
    <s v="Partial College"/>
    <s v="Professional"/>
    <s v="Yes"/>
    <n v="4"/>
    <s v="0-1 Miles"/>
    <s v="Europe"/>
    <n v="59"/>
    <s v="OLD"/>
    <x v="0"/>
  </r>
  <r>
    <n v="23979"/>
    <s v="Single"/>
    <x v="1"/>
    <n v="10000"/>
    <n v="2"/>
    <s v="Partial College"/>
    <s v="Manual"/>
    <s v="No"/>
    <n v="0"/>
    <s v="0-1 Miles"/>
    <s v="Europe"/>
    <n v="50"/>
    <s v="Middle Age"/>
    <x v="0"/>
  </r>
  <r>
    <n v="25605"/>
    <s v="Single"/>
    <x v="0"/>
    <n v="20000"/>
    <n v="2"/>
    <s v="Partial College"/>
    <s v="Manual"/>
    <s v="No"/>
    <n v="1"/>
    <s v="0-1 Miles"/>
    <s v="Europe"/>
    <n v="54"/>
    <s v="Middle Age"/>
    <x v="1"/>
  </r>
  <r>
    <n v="20797"/>
    <s v="Married"/>
    <x v="0"/>
    <n v="10000"/>
    <n v="1"/>
    <s v="Bachelors"/>
    <s v="Manual"/>
    <s v="Yes"/>
    <n v="0"/>
    <s v="0-1 Miles"/>
    <s v="Europe"/>
    <n v="48"/>
    <s v="Middle Age"/>
    <x v="0"/>
  </r>
  <r>
    <n v="21980"/>
    <s v="Single"/>
    <x v="0"/>
    <n v="60000"/>
    <n v="1"/>
    <s v="Bachelors"/>
    <s v="Professional"/>
    <s v="Yes"/>
    <n v="1"/>
    <s v="5-10 Miles"/>
    <s v="Pacific"/>
    <n v="44"/>
    <s v="Middle Age"/>
    <x v="1"/>
  </r>
  <r>
    <n v="25460"/>
    <s v="Married"/>
    <x v="0"/>
    <n v="20000"/>
    <n v="2"/>
    <s v="High School"/>
    <s v="Manual"/>
    <s v="Yes"/>
    <n v="0"/>
    <s v="0-1 Miles"/>
    <s v="Europe"/>
    <n v="40"/>
    <s v="Middle Age"/>
    <x v="1"/>
  </r>
  <r>
    <n v="29181"/>
    <s v="Single"/>
    <x v="0"/>
    <n v="60000"/>
    <n v="2"/>
    <s v="Bachelors"/>
    <s v="Professional"/>
    <s v="No"/>
    <n v="1"/>
    <s v="0-1 Miles"/>
    <s v="Pacific"/>
    <n v="38"/>
    <s v="Middle Age"/>
    <x v="1"/>
  </r>
  <r>
    <n v="24279"/>
    <s v="Single"/>
    <x v="1"/>
    <n v="40000"/>
    <n v="2"/>
    <s v="Partial College"/>
    <s v="Skilled Manual"/>
    <s v="No"/>
    <n v="2"/>
    <s v="1-2 Miles"/>
    <s v="Pacific"/>
    <n v="52"/>
    <s v="Middle Age"/>
    <x v="0"/>
  </r>
  <r>
    <n v="22402"/>
    <s v="Married"/>
    <x v="1"/>
    <n v="10000"/>
    <n v="0"/>
    <s v="Partial College"/>
    <s v="Manual"/>
    <s v="Yes"/>
    <n v="1"/>
    <s v="2-5 Miles"/>
    <s v="Pacific"/>
    <n v="25"/>
    <s v="Adolesent"/>
    <x v="1"/>
  </r>
  <r>
    <n v="15465"/>
    <s v="Married"/>
    <x v="0"/>
    <n v="10000"/>
    <n v="0"/>
    <s v="Partial College"/>
    <s v="Manual"/>
    <s v="No"/>
    <n v="1"/>
    <s v="0-1 Miles"/>
    <s v="Pacific"/>
    <n v="25"/>
    <s v="Adolesent"/>
    <x v="0"/>
  </r>
  <r>
    <n v="26757"/>
    <s v="Single"/>
    <x v="1"/>
    <n v="90000"/>
    <n v="1"/>
    <s v="Bachelors"/>
    <s v="Professional"/>
    <s v="Yes"/>
    <n v="1"/>
    <s v="2-5 Miles"/>
    <s v="Pacific"/>
    <n v="47"/>
    <s v="Middle Age"/>
    <x v="1"/>
  </r>
  <r>
    <n v="14233"/>
    <s v="Single"/>
    <x v="1"/>
    <n v="100000"/>
    <n v="0"/>
    <s v="High School"/>
    <s v="Management"/>
    <s v="Yes"/>
    <n v="3"/>
    <s v="more than 10 miles"/>
    <s v="Pacific"/>
    <n v="35"/>
    <s v="Middle Age"/>
    <x v="0"/>
  </r>
  <r>
    <n v="14058"/>
    <s v="Single"/>
    <x v="1"/>
    <n v="70000"/>
    <n v="0"/>
    <s v="Bachelors"/>
    <s v="Professional"/>
    <s v="No"/>
    <n v="1"/>
    <s v="5-10 Miles"/>
    <s v="Pacific"/>
    <n v="41"/>
    <s v="Middle Age"/>
    <x v="1"/>
  </r>
  <r>
    <n v="12273"/>
    <s v="Married"/>
    <x v="1"/>
    <n v="30000"/>
    <n v="1"/>
    <s v="Bachelors"/>
    <s v="Clerical"/>
    <s v="Yes"/>
    <n v="0"/>
    <s v="0-1 Miles"/>
    <s v="Europe"/>
    <n v="47"/>
    <s v="Middle Age"/>
    <x v="0"/>
  </r>
  <r>
    <n v="17203"/>
    <s v="Married"/>
    <x v="0"/>
    <n v="130000"/>
    <n v="4"/>
    <s v="Partial College"/>
    <s v="Professional"/>
    <s v="Yes"/>
    <n v="4"/>
    <s v="5-10 Miles"/>
    <s v="Europe"/>
    <n v="61"/>
    <s v="OLD"/>
    <x v="1"/>
  </r>
  <r>
    <n v="18144"/>
    <s v="Married"/>
    <x v="0"/>
    <n v="80000"/>
    <n v="5"/>
    <s v="Bachelors"/>
    <s v="Management"/>
    <s v="Yes"/>
    <n v="2"/>
    <s v="2-5 Miles"/>
    <s v="Europe"/>
    <n v="61"/>
    <s v="OLD"/>
    <x v="0"/>
  </r>
  <r>
    <n v="23963"/>
    <s v="Married"/>
    <x v="1"/>
    <n v="10000"/>
    <n v="0"/>
    <s v="Partial High School"/>
    <s v="Manual"/>
    <s v="No"/>
    <n v="2"/>
    <s v="0-1 Miles"/>
    <s v="Europe"/>
    <n v="33"/>
    <s v="Middle Age"/>
    <x v="0"/>
  </r>
  <r>
    <n v="17907"/>
    <s v="Married"/>
    <x v="0"/>
    <n v="10000"/>
    <n v="0"/>
    <s v="Partial College"/>
    <s v="Manual"/>
    <s v="Yes"/>
    <n v="1"/>
    <s v="2-5 Miles"/>
    <s v="Pacific"/>
    <n v="27"/>
    <s v="Adolesent"/>
    <x v="0"/>
  </r>
  <r>
    <n v="19442"/>
    <s v="Single"/>
    <x v="1"/>
    <n v="50000"/>
    <n v="0"/>
    <s v="Graduate Degree"/>
    <s v="Skilled Manual"/>
    <s v="Yes"/>
    <n v="0"/>
    <s v="0-1 Miles"/>
    <s v="Europe"/>
    <n v="37"/>
    <s v="Middle Age"/>
    <x v="1"/>
  </r>
  <r>
    <n v="17504"/>
    <s v="Single"/>
    <x v="0"/>
    <n v="80000"/>
    <n v="2"/>
    <s v="Partial College"/>
    <s v="Skilled Manual"/>
    <s v="Yes"/>
    <n v="2"/>
    <s v="5-10 Miles"/>
    <s v="Pacific"/>
    <n v="52"/>
    <s v="Middle Age"/>
    <x v="1"/>
  </r>
  <r>
    <n v="12253"/>
    <s v="Single"/>
    <x v="0"/>
    <n v="20000"/>
    <n v="0"/>
    <s v="Partial College"/>
    <s v="Manual"/>
    <s v="Yes"/>
    <n v="0"/>
    <s v="0-1 Miles"/>
    <s v="Pacific"/>
    <n v="29"/>
    <s v="Adolesent"/>
    <x v="1"/>
  </r>
  <r>
    <n v="27304"/>
    <s v="Single"/>
    <x v="0"/>
    <n v="110000"/>
    <n v="2"/>
    <s v="Partial College"/>
    <s v="Professional"/>
    <s v="No"/>
    <n v="3"/>
    <s v="5-10 Miles"/>
    <s v="Europe"/>
    <n v="48"/>
    <s v="Middle Age"/>
    <x v="0"/>
  </r>
  <r>
    <n v="14191"/>
    <s v="Married"/>
    <x v="1"/>
    <n v="160000"/>
    <n v="4"/>
    <s v="Partial College"/>
    <s v="Professional"/>
    <s v="No"/>
    <n v="2"/>
    <s v="more than 10 miles"/>
    <s v="Europe"/>
    <n v="55"/>
    <s v="Middle Age"/>
    <x v="1"/>
  </r>
  <r>
    <n v="12212"/>
    <s v="Married"/>
    <x v="0"/>
    <n v="10000"/>
    <n v="0"/>
    <s v="Graduate Degree"/>
    <s v="Manual"/>
    <s v="Yes"/>
    <n v="0"/>
    <s v="0-1 Miles"/>
    <s v="Europe"/>
    <n v="37"/>
    <s v="Middle Age"/>
    <x v="1"/>
  </r>
  <r>
    <n v="25529"/>
    <s v="Single"/>
    <x v="1"/>
    <n v="10000"/>
    <n v="1"/>
    <s v="Graduate Degree"/>
    <s v="Manual"/>
    <s v="Yes"/>
    <n v="0"/>
    <s v="0-1 Miles"/>
    <s v="Europe"/>
    <n v="44"/>
    <s v="Middle Age"/>
    <x v="0"/>
  </r>
  <r>
    <n v="22170"/>
    <s v="Married"/>
    <x v="0"/>
    <n v="30000"/>
    <n v="3"/>
    <s v="Partial College"/>
    <s v="Clerical"/>
    <s v="No"/>
    <n v="2"/>
    <s v="1-2 Miles"/>
    <s v="Pacific"/>
    <n v="55"/>
    <s v="Middle Age"/>
    <x v="1"/>
  </r>
  <r>
    <n v="19445"/>
    <s v="Married"/>
    <x v="0"/>
    <n v="10000"/>
    <n v="2"/>
    <s v="High School"/>
    <s v="Manual"/>
    <s v="No"/>
    <n v="1"/>
    <s v="0-1 Miles"/>
    <s v="Europe"/>
    <n v="38"/>
    <s v="Middle Age"/>
    <x v="0"/>
  </r>
  <r>
    <n v="15265"/>
    <s v="Single"/>
    <x v="1"/>
    <n v="40000"/>
    <n v="2"/>
    <s v="Bachelors"/>
    <s v="Management"/>
    <s v="Yes"/>
    <n v="2"/>
    <s v="5-10 Miles"/>
    <s v="Pacific"/>
    <n v="66"/>
    <s v="OLD"/>
    <x v="1"/>
  </r>
  <r>
    <n v="28918"/>
    <s v="Married"/>
    <x v="0"/>
    <n v="130000"/>
    <n v="4"/>
    <s v="High School"/>
    <s v="Management"/>
    <s v="No"/>
    <n v="4"/>
    <s v="more than 10 miles"/>
    <s v="Europe"/>
    <n v="58"/>
    <s v="OLD"/>
    <x v="0"/>
  </r>
  <r>
    <n v="15799"/>
    <s v="Married"/>
    <x v="0"/>
    <n v="90000"/>
    <n v="1"/>
    <s v="Bachelors"/>
    <s v="Professional"/>
    <s v="Yes"/>
    <n v="1"/>
    <s v="2-5 Miles"/>
    <s v="Pacific"/>
    <n v="47"/>
    <s v="Middle Age"/>
    <x v="1"/>
  </r>
  <r>
    <n v="11047"/>
    <s v="Married"/>
    <x v="0"/>
    <n v="30000"/>
    <n v="3"/>
    <s v="High School"/>
    <s v="Skilled Manual"/>
    <s v="No"/>
    <n v="2"/>
    <s v="1-2 Miles"/>
    <s v="Pacific"/>
    <n v="56"/>
    <s v="OLD"/>
    <x v="1"/>
  </r>
  <r>
    <n v="18151"/>
    <s v="Single"/>
    <x v="1"/>
    <n v="80000"/>
    <n v="5"/>
    <s v="Partial College"/>
    <s v="Professional"/>
    <s v="No"/>
    <n v="2"/>
    <s v="more than 10 miles"/>
    <s v="Europe"/>
    <n v="59"/>
    <s v="OLD"/>
    <x v="0"/>
  </r>
  <r>
    <n v="20606"/>
    <s v="Married"/>
    <x v="0"/>
    <n v="70000"/>
    <n v="0"/>
    <s v="Bachelors"/>
    <s v="Professional"/>
    <s v="Yes"/>
    <n v="4"/>
    <s v="more than 10 miles"/>
    <s v="Pacific"/>
    <n v="32"/>
    <s v="Middle Age"/>
    <x v="1"/>
  </r>
  <r>
    <n v="19482"/>
    <s v="Married"/>
    <x v="1"/>
    <n v="30000"/>
    <n v="1"/>
    <s v="Partial College"/>
    <s v="Clerical"/>
    <s v="Yes"/>
    <n v="1"/>
    <s v="0-1 Miles"/>
    <s v="Europe"/>
    <n v="44"/>
    <s v="Middle Age"/>
    <x v="1"/>
  </r>
  <r>
    <n v="16489"/>
    <s v="Married"/>
    <x v="1"/>
    <n v="30000"/>
    <n v="3"/>
    <s v="High School"/>
    <s v="Skilled Manual"/>
    <s v="Yes"/>
    <n v="2"/>
    <s v="5-10 Miles"/>
    <s v="Pacific"/>
    <n v="55"/>
    <s v="Middle Age"/>
    <x v="0"/>
  </r>
  <r>
    <n v="26944"/>
    <s v="Single"/>
    <x v="1"/>
    <n v="90000"/>
    <n v="2"/>
    <s v="High School"/>
    <s v="Manual"/>
    <s v="Yes"/>
    <n v="0"/>
    <s v="0-1 Miles"/>
    <s v="Europe"/>
    <n v="36"/>
    <s v="Middle Age"/>
    <x v="1"/>
  </r>
  <r>
    <n v="15682"/>
    <s v="Single"/>
    <x v="0"/>
    <n v="80000"/>
    <n v="5"/>
    <s v="Bachelors"/>
    <s v="Management"/>
    <s v="Yes"/>
    <n v="2"/>
    <s v="more than 10 miles"/>
    <s v="Europe"/>
    <n v="62"/>
    <s v="OLD"/>
    <x v="0"/>
  </r>
  <r>
    <n v="26032"/>
    <s v="Married"/>
    <x v="0"/>
    <n v="70000"/>
    <n v="5"/>
    <s v="Bachelors"/>
    <s v="Professional"/>
    <s v="Yes"/>
    <n v="4"/>
    <s v="more than 10 miles"/>
    <s v="Pacific"/>
    <n v="41"/>
    <s v="Middle Age"/>
    <x v="0"/>
  </r>
  <r>
    <n v="17843"/>
    <s v="Single"/>
    <x v="0"/>
    <n v="10000"/>
    <n v="0"/>
    <s v="Partial High School"/>
    <s v="Manual"/>
    <s v="No"/>
    <n v="2"/>
    <s v="0-1 Miles"/>
    <s v="Europe"/>
    <n v="32"/>
    <s v="Middle Age"/>
    <x v="0"/>
  </r>
  <r>
    <n v="25559"/>
    <s v="Single"/>
    <x v="1"/>
    <n v="20000"/>
    <n v="0"/>
    <s v="Bachelors"/>
    <s v="Clerical"/>
    <s v="Yes"/>
    <n v="0"/>
    <s v="0-1 Miles"/>
    <s v="Pacific"/>
    <n v="25"/>
    <s v="Adolesent"/>
    <x v="1"/>
  </r>
  <r>
    <n v="16209"/>
    <s v="Single"/>
    <x v="0"/>
    <n v="50000"/>
    <n v="0"/>
    <s v="Graduate Degree"/>
    <s v="Skilled Manual"/>
    <s v="Yes"/>
    <n v="0"/>
    <s v="1-2 Miles"/>
    <s v="Europe"/>
    <n v="36"/>
    <s v="Middle Age"/>
    <x v="0"/>
  </r>
  <r>
    <n v="11147"/>
    <s v="Married"/>
    <x v="1"/>
    <n v="60000"/>
    <n v="2"/>
    <s v="Graduate Degree"/>
    <s v="Management"/>
    <s v="Yes"/>
    <n v="1"/>
    <s v="0-1 Miles"/>
    <s v="Pacific"/>
    <n v="67"/>
    <s v="OLD"/>
    <x v="1"/>
  </r>
  <r>
    <n v="15214"/>
    <s v="Single"/>
    <x v="0"/>
    <n v="100000"/>
    <n v="0"/>
    <s v="Graduate Degree"/>
    <s v="Management"/>
    <s v="No"/>
    <n v="1"/>
    <s v="1-2 Miles"/>
    <s v="Pacific"/>
    <n v="39"/>
    <s v="Middle Age"/>
    <x v="1"/>
  </r>
  <r>
    <n v="11453"/>
    <s v="Single"/>
    <x v="1"/>
    <n v="80000"/>
    <n v="0"/>
    <s v="Bachelors"/>
    <s v="Professional"/>
    <s v="No"/>
    <n v="3"/>
    <s v="more than 10 miles"/>
    <s v="Pacific"/>
    <n v="33"/>
    <s v="Middle Age"/>
    <x v="1"/>
  </r>
  <r>
    <n v="24584"/>
    <s v="Single"/>
    <x v="1"/>
    <n v="60000"/>
    <n v="0"/>
    <s v="Bachelors"/>
    <s v="Professional"/>
    <s v="No"/>
    <n v="3"/>
    <s v="2-5 Miles"/>
    <s v="Pacific"/>
    <n v="31"/>
    <s v="Middle Age"/>
    <x v="0"/>
  </r>
  <r>
    <n v="12585"/>
    <s v="Married"/>
    <x v="1"/>
    <n v="10000"/>
    <n v="1"/>
    <s v="High School"/>
    <s v="Manual"/>
    <s v="Yes"/>
    <n v="0"/>
    <s v="2-5 Miles"/>
    <s v="Pacific"/>
    <n v="27"/>
    <s v="Adolesent"/>
    <x v="1"/>
  </r>
  <r>
    <n v="18626"/>
    <s v="Single"/>
    <x v="1"/>
    <n v="40000"/>
    <n v="2"/>
    <s v="Partial College"/>
    <s v="Clerical"/>
    <s v="Yes"/>
    <n v="0"/>
    <s v="1-2 Miles"/>
    <s v="Europe"/>
    <n v="33"/>
    <s v="Middle Age"/>
    <x v="1"/>
  </r>
  <r>
    <n v="29298"/>
    <s v="Single"/>
    <x v="0"/>
    <n v="60000"/>
    <n v="1"/>
    <s v="Partial College"/>
    <s v="Skilled Manual"/>
    <s v="Yes"/>
    <n v="1"/>
    <s v="5-10 Miles"/>
    <s v="Pacific"/>
    <n v="46"/>
    <s v="Middle Age"/>
    <x v="1"/>
  </r>
  <r>
    <n v="24842"/>
    <s v="Single"/>
    <x v="0"/>
    <n v="90000"/>
    <n v="3"/>
    <s v="High School"/>
    <s v="Professional"/>
    <s v="No"/>
    <n v="1"/>
    <s v="2-5 Miles"/>
    <s v="Europe"/>
    <n v="51"/>
    <s v="Middle Age"/>
    <x v="0"/>
  </r>
  <r>
    <n v="15657"/>
    <s v="Married"/>
    <x v="1"/>
    <n v="30000"/>
    <n v="3"/>
    <s v="Graduate Degree"/>
    <s v="Clerical"/>
    <s v="Yes"/>
    <n v="0"/>
    <s v="0-1 Miles"/>
    <s v="Europe"/>
    <n v="46"/>
    <s v="Middle Age"/>
    <x v="1"/>
  </r>
  <r>
    <n v="11415"/>
    <s v="Single"/>
    <x v="1"/>
    <n v="90000"/>
    <n v="5"/>
    <s v="Partial College"/>
    <s v="Professional"/>
    <s v="No"/>
    <n v="2"/>
    <s v="more than 10 miles"/>
    <s v="Europe"/>
    <n v="62"/>
    <s v="OLD"/>
    <x v="0"/>
  </r>
  <r>
    <n v="28729"/>
    <s v="Single"/>
    <x v="0"/>
    <n v="20000"/>
    <n v="0"/>
    <s v="Partial High School"/>
    <s v="Manual"/>
    <s v="Yes"/>
    <n v="2"/>
    <s v="1-2 Miles"/>
    <s v="Europe"/>
    <n v="26"/>
    <s v="Adolesent"/>
    <x v="1"/>
  </r>
  <r>
    <n v="22633"/>
    <s v="Single"/>
    <x v="0"/>
    <n v="40000"/>
    <n v="0"/>
    <s v="Graduate Degree"/>
    <s v="Clerical"/>
    <s v="Yes"/>
    <n v="0"/>
    <s v="0-1 Miles"/>
    <s v="Europe"/>
    <n v="37"/>
    <s v="Middle Age"/>
    <x v="1"/>
  </r>
  <r>
    <n v="25649"/>
    <s v="Single"/>
    <x v="0"/>
    <n v="30000"/>
    <n v="3"/>
    <s v="Partial College"/>
    <s v="Clerical"/>
    <s v="Yes"/>
    <n v="0"/>
    <s v="0-1 Miles"/>
    <s v="Europe"/>
    <n v="42"/>
    <s v="Middle Age"/>
    <x v="1"/>
  </r>
  <r>
    <n v="14669"/>
    <s v="Married"/>
    <x v="0"/>
    <n v="80000"/>
    <n v="4"/>
    <s v="Graduate Degree"/>
    <s v="Management"/>
    <s v="Yes"/>
    <n v="1"/>
    <s v="0-1 Miles"/>
    <s v="Pacific"/>
    <n v="36"/>
    <s v="Middle Age"/>
    <x v="0"/>
  </r>
  <r>
    <n v="19299"/>
    <s v="Married"/>
    <x v="0"/>
    <n v="50000"/>
    <n v="0"/>
    <s v="Graduate Degree"/>
    <s v="Skilled Manual"/>
    <s v="Yes"/>
    <n v="0"/>
    <s v="0-1 Miles"/>
    <s v="Europe"/>
    <n v="36"/>
    <s v="Middle Age"/>
    <x v="1"/>
  </r>
  <r>
    <n v="20946"/>
    <s v="Single"/>
    <x v="0"/>
    <n v="30000"/>
    <n v="0"/>
    <s v="Partial College"/>
    <s v="Clerical"/>
    <s v="No"/>
    <n v="1"/>
    <s v="2-5 Miles"/>
    <s v="Europe"/>
    <n v="30"/>
    <s v="Adolesent"/>
    <x v="0"/>
  </r>
  <r>
    <n v="11451"/>
    <s v="Single"/>
    <x v="1"/>
    <n v="70000"/>
    <n v="0"/>
    <s v="Bachelors"/>
    <s v="Professional"/>
    <s v="No"/>
    <n v="4"/>
    <s v="more than 10 miles"/>
    <s v="Pacific"/>
    <n v="31"/>
    <s v="Middle Age"/>
    <x v="1"/>
  </r>
  <r>
    <n v="25553"/>
    <s v="Married"/>
    <x v="1"/>
    <n v="30000"/>
    <n v="1"/>
    <s v="Bachelors"/>
    <s v="Clerical"/>
    <s v="Yes"/>
    <n v="0"/>
    <s v="0-1 Miles"/>
    <s v="Europe"/>
    <n v="65"/>
    <s v="OLD"/>
    <x v="1"/>
  </r>
  <r>
    <n v="27951"/>
    <s v="Single"/>
    <x v="1"/>
    <n v="80000"/>
    <n v="4"/>
    <s v="Partial College"/>
    <s v="Professional"/>
    <s v="No"/>
    <n v="2"/>
    <s v="2-5 Miles"/>
    <s v="Europe"/>
    <n v="54"/>
    <s v="Middle Age"/>
    <x v="1"/>
  </r>
  <r>
    <n v="25026"/>
    <s v="Married"/>
    <x v="1"/>
    <n v="20000"/>
    <n v="2"/>
    <s v="Partial High School"/>
    <s v="Clerical"/>
    <s v="Yes"/>
    <n v="3"/>
    <s v="5-10 Miles"/>
    <s v="Pacific"/>
    <n v="54"/>
    <s v="Middle Age"/>
    <x v="0"/>
  </r>
  <r>
    <n v="13673"/>
    <s v="Single"/>
    <x v="0"/>
    <n v="20000"/>
    <n v="0"/>
    <s v="Partial High School"/>
    <s v="Manual"/>
    <s v="No"/>
    <n v="2"/>
    <s v="0-1 Miles"/>
    <s v="Europe"/>
    <n v="25"/>
    <s v="Adolesent"/>
    <x v="0"/>
  </r>
  <r>
    <n v="16043"/>
    <s v="Single"/>
    <x v="1"/>
    <n v="10000"/>
    <n v="1"/>
    <s v="Bachelors"/>
    <s v="Manual"/>
    <s v="Yes"/>
    <n v="0"/>
    <s v="0-1 Miles"/>
    <s v="Europe"/>
    <n v="48"/>
    <s v="Middle Age"/>
    <x v="0"/>
  </r>
  <r>
    <n v="22399"/>
    <s v="Single"/>
    <x v="1"/>
    <n v="10000"/>
    <n v="0"/>
    <s v="Partial College"/>
    <s v="Manual"/>
    <s v="Yes"/>
    <n v="1"/>
    <s v="1-2 Miles"/>
    <s v="Pacific"/>
    <n v="26"/>
    <s v="Adolesent"/>
    <x v="1"/>
  </r>
  <r>
    <n v="27696"/>
    <s v="Married"/>
    <x v="1"/>
    <n v="60000"/>
    <n v="1"/>
    <s v="Bachelors"/>
    <s v="Professional"/>
    <s v="Yes"/>
    <n v="1"/>
    <s v="5-10 Miles"/>
    <s v="Pacific"/>
    <n v="43"/>
    <s v="Middle Age"/>
    <x v="1"/>
  </r>
  <r>
    <n v="25313"/>
    <s v="Single"/>
    <x v="1"/>
    <n v="10000"/>
    <n v="0"/>
    <s v="Partial High School"/>
    <s v="Manual"/>
    <s v="No"/>
    <n v="2"/>
    <s v="1-2 Miles"/>
    <s v="Europe"/>
    <n v="35"/>
    <s v="Middle Age"/>
    <x v="0"/>
  </r>
  <r>
    <n v="13813"/>
    <s v="Married"/>
    <x v="0"/>
    <n v="30000"/>
    <n v="3"/>
    <s v="Partial College"/>
    <s v="Clerical"/>
    <s v="No"/>
    <n v="0"/>
    <s v="0-1 Miles"/>
    <s v="Europe"/>
    <n v="42"/>
    <s v="Middle Age"/>
    <x v="0"/>
  </r>
  <r>
    <n v="18711"/>
    <s v="Single"/>
    <x v="0"/>
    <n v="70000"/>
    <n v="5"/>
    <s v="Bachelors"/>
    <s v="Professional"/>
    <s v="Yes"/>
    <n v="4"/>
    <s v="more than 10 miles"/>
    <s v="Pacific"/>
    <n v="39"/>
    <s v="Middle Age"/>
    <x v="0"/>
  </r>
  <r>
    <n v="19650"/>
    <s v="Married"/>
    <x v="0"/>
    <n v="30000"/>
    <n v="2"/>
    <s v="Partial College"/>
    <s v="Clerical"/>
    <s v="No"/>
    <n v="2"/>
    <s v="0-1 Miles"/>
    <s v="Pacific"/>
    <n v="67"/>
    <s v="OLD"/>
    <x v="0"/>
  </r>
  <r>
    <n v="14135"/>
    <s v="Married"/>
    <x v="1"/>
    <n v="20000"/>
    <n v="1"/>
    <s v="Partial College"/>
    <s v="Manual"/>
    <s v="Yes"/>
    <n v="0"/>
    <s v="1-2 Miles"/>
    <s v="Europe"/>
    <n v="35"/>
    <s v="Middle Age"/>
    <x v="0"/>
  </r>
  <r>
    <n v="12833"/>
    <s v="Single"/>
    <x v="0"/>
    <n v="20000"/>
    <n v="3"/>
    <s v="High School"/>
    <s v="Manual"/>
    <s v="Yes"/>
    <n v="1"/>
    <s v="0-1 Miles"/>
    <s v="Europe"/>
    <n v="42"/>
    <s v="Middle Age"/>
    <x v="1"/>
  </r>
  <r>
    <n v="26849"/>
    <s v="Married"/>
    <x v="1"/>
    <n v="10000"/>
    <n v="3"/>
    <s v="Partial High School"/>
    <s v="Manual"/>
    <s v="Yes"/>
    <n v="2"/>
    <s v="0-1 Miles"/>
    <s v="Europe"/>
    <n v="43"/>
    <s v="Middle Age"/>
    <x v="0"/>
  </r>
  <r>
    <n v="20962"/>
    <s v="Married"/>
    <x v="0"/>
    <n v="20000"/>
    <n v="1"/>
    <s v="Graduate Degree"/>
    <s v="Clerical"/>
    <s v="Yes"/>
    <n v="0"/>
    <s v="0-1 Miles"/>
    <s v="Europe"/>
    <n v="45"/>
    <s v="Middle Age"/>
    <x v="0"/>
  </r>
  <r>
    <n v="28915"/>
    <s v="Single"/>
    <x v="1"/>
    <n v="80000"/>
    <n v="5"/>
    <s v="High School"/>
    <s v="Management"/>
    <s v="Yes"/>
    <n v="3"/>
    <s v="more than 10 miles"/>
    <s v="Europe"/>
    <n v="57"/>
    <s v="OLD"/>
    <x v="0"/>
  </r>
  <r>
    <n v="22830"/>
    <s v="Married"/>
    <x v="1"/>
    <n v="120000"/>
    <n v="4"/>
    <s v="Partial College"/>
    <s v="Management"/>
    <s v="Yes"/>
    <n v="3"/>
    <s v="more than 10 miles"/>
    <s v="Europe"/>
    <n v="56"/>
    <s v="OLD"/>
    <x v="0"/>
  </r>
  <r>
    <n v="14777"/>
    <s v="Married"/>
    <x v="0"/>
    <n v="40000"/>
    <n v="0"/>
    <s v="Bachelors"/>
    <s v="Clerical"/>
    <s v="Yes"/>
    <n v="0"/>
    <s v="0-1 Miles"/>
    <s v="Europe"/>
    <n v="38"/>
    <s v="Middle Age"/>
    <x v="1"/>
  </r>
  <r>
    <n v="12591"/>
    <s v="Married"/>
    <x v="0"/>
    <n v="30000"/>
    <n v="4"/>
    <s v="Graduate Degree"/>
    <s v="Clerical"/>
    <s v="Yes"/>
    <n v="0"/>
    <s v="0-1 Miles"/>
    <s v="Europe"/>
    <n v="45"/>
    <s v="Middle Age"/>
    <x v="0"/>
  </r>
  <r>
    <n v="24174"/>
    <s v="Married"/>
    <x v="1"/>
    <n v="20000"/>
    <n v="0"/>
    <s v="Bachelors"/>
    <s v="Clerical"/>
    <s v="Yes"/>
    <n v="0"/>
    <s v="0-1 Miles"/>
    <s v="Pacific"/>
    <n v="27"/>
    <s v="Adolesent"/>
    <x v="1"/>
  </r>
  <r>
    <n v="24611"/>
    <s v="Single"/>
    <x v="1"/>
    <n v="90000"/>
    <n v="0"/>
    <s v="Bachelors"/>
    <s v="Professional"/>
    <s v="No"/>
    <n v="4"/>
    <s v="more than 10 miles"/>
    <s v="Pacific"/>
    <n v="35"/>
    <s v="Middle Age"/>
    <x v="1"/>
  </r>
  <r>
    <n v="11340"/>
    <s v="Married"/>
    <x v="0"/>
    <n v="10000"/>
    <n v="1"/>
    <s v="Graduate Degree"/>
    <s v="Clerical"/>
    <s v="Yes"/>
    <n v="0"/>
    <s v="0-1 Miles"/>
    <s v="Europe"/>
    <n v="70"/>
    <s v="OLD"/>
    <x v="1"/>
  </r>
  <r>
    <n v="25693"/>
    <s v="Single"/>
    <x v="0"/>
    <n v="30000"/>
    <n v="5"/>
    <s v="Graduate Degree"/>
    <s v="Clerical"/>
    <s v="Yes"/>
    <n v="0"/>
    <s v="0-1 Miles"/>
    <s v="Europe"/>
    <n v="44"/>
    <s v="Middle Age"/>
    <x v="1"/>
  </r>
  <r>
    <n v="25555"/>
    <s v="Married"/>
    <x v="0"/>
    <n v="10000"/>
    <n v="0"/>
    <s v="Partial College"/>
    <s v="Manual"/>
    <s v="No"/>
    <n v="1"/>
    <s v="0-1 Miles"/>
    <s v="Pacific"/>
    <n v="26"/>
    <s v="Adolesent"/>
    <x v="1"/>
  </r>
  <r>
    <n v="22006"/>
    <s v="Married"/>
    <x v="1"/>
    <n v="70000"/>
    <n v="5"/>
    <s v="Partial College"/>
    <s v="Skilled Manual"/>
    <s v="Yes"/>
    <n v="3"/>
    <s v="5-10 Miles"/>
    <s v="Pacific"/>
    <n v="46"/>
    <s v="Middle Age"/>
    <x v="0"/>
  </r>
  <r>
    <n v="20060"/>
    <s v="Single"/>
    <x v="0"/>
    <n v="30000"/>
    <n v="0"/>
    <s v="High School"/>
    <s v="Manual"/>
    <s v="No"/>
    <n v="1"/>
    <s v="2-5 Miles"/>
    <s v="Europe"/>
    <n v="34"/>
    <s v="Middle Age"/>
    <x v="1"/>
  </r>
  <r>
    <n v="17702"/>
    <s v="Married"/>
    <x v="1"/>
    <n v="10000"/>
    <n v="1"/>
    <s v="Graduate Degree"/>
    <s v="Manual"/>
    <s v="Yes"/>
    <n v="0"/>
    <s v="0-1 Miles"/>
    <s v="Europe"/>
    <n v="37"/>
    <s v="Middle Age"/>
    <x v="0"/>
  </r>
  <r>
    <n v="12503"/>
    <s v="Single"/>
    <x v="0"/>
    <n v="30000"/>
    <n v="3"/>
    <s v="Partial College"/>
    <s v="Clerical"/>
    <s v="Yes"/>
    <n v="2"/>
    <s v="0-1 Miles"/>
    <s v="Europe"/>
    <n v="27"/>
    <s v="Adolesent"/>
    <x v="0"/>
  </r>
  <r>
    <n v="23908"/>
    <s v="Single"/>
    <x v="1"/>
    <n v="30000"/>
    <n v="1"/>
    <s v="Bachelors"/>
    <s v="Clerical"/>
    <s v="No"/>
    <n v="1"/>
    <s v="0-1 Miles"/>
    <s v="Europe"/>
    <n v="39"/>
    <s v="Middle Age"/>
    <x v="1"/>
  </r>
  <r>
    <n v="22527"/>
    <s v="Single"/>
    <x v="0"/>
    <n v="20000"/>
    <n v="0"/>
    <s v="High School"/>
    <s v="Manual"/>
    <s v="No"/>
    <n v="1"/>
    <s v="2-5 Miles"/>
    <s v="Europe"/>
    <n v="29"/>
    <s v="Adolesent"/>
    <x v="0"/>
  </r>
  <r>
    <n v="19057"/>
    <s v="Married"/>
    <x v="0"/>
    <n v="120000"/>
    <n v="3"/>
    <s v="Bachelors"/>
    <s v="Management"/>
    <s v="No"/>
    <n v="2"/>
    <s v="more than 10 miles"/>
    <s v="Europe"/>
    <n v="52"/>
    <s v="Middle Age"/>
    <x v="1"/>
  </r>
  <r>
    <n v="18494"/>
    <s v="Married"/>
    <x v="1"/>
    <n v="110000"/>
    <n v="5"/>
    <s v="Bachelors"/>
    <s v="Management"/>
    <s v="Yes"/>
    <n v="4"/>
    <s v="2-5 Miles"/>
    <s v="Pacific"/>
    <n v="48"/>
    <s v="Middle Age"/>
    <x v="1"/>
  </r>
  <r>
    <n v="11249"/>
    <s v="Married"/>
    <x v="0"/>
    <n v="130000"/>
    <n v="3"/>
    <s v="Partial College"/>
    <s v="Professional"/>
    <s v="Yes"/>
    <n v="3"/>
    <s v="0-1 Miles"/>
    <s v="Europe"/>
    <n v="51"/>
    <s v="Middle Age"/>
    <x v="1"/>
  </r>
  <r>
    <n v="21568"/>
    <s v="Married"/>
    <x v="0"/>
    <n v="100000"/>
    <n v="0"/>
    <s v="High School"/>
    <s v="Management"/>
    <s v="Yes"/>
    <n v="4"/>
    <s v="more than 10 miles"/>
    <s v="Pacific"/>
    <n v="34"/>
    <s v="Middle Age"/>
    <x v="1"/>
  </r>
  <r>
    <n v="13981"/>
    <s v="Married"/>
    <x v="0"/>
    <n v="10000"/>
    <n v="5"/>
    <s v="High School"/>
    <s v="Skilled Manual"/>
    <s v="No"/>
    <n v="3"/>
    <s v="1-2 Miles"/>
    <s v="Pacific"/>
    <n v="62"/>
    <s v="OLD"/>
    <x v="0"/>
  </r>
  <r>
    <n v="23432"/>
    <s v="Single"/>
    <x v="1"/>
    <n v="70000"/>
    <n v="0"/>
    <s v="Bachelors"/>
    <s v="Professional"/>
    <s v="Yes"/>
    <n v="1"/>
    <s v="5-10 Miles"/>
    <s v="Pacific"/>
    <n v="37"/>
    <s v="Middle Age"/>
    <x v="1"/>
  </r>
  <r>
    <n v="22931"/>
    <s v="Married"/>
    <x v="1"/>
    <n v="100000"/>
    <n v="5"/>
    <s v="Graduate Degree"/>
    <s v="Management"/>
    <s v="No"/>
    <n v="1"/>
    <s v="1-2 Miles"/>
    <s v="Pacific"/>
    <n v="78"/>
    <s v="OLD"/>
    <x v="1"/>
  </r>
  <r>
    <n v="18172"/>
    <s v="Married"/>
    <x v="1"/>
    <n v="130000"/>
    <n v="4"/>
    <s v="High School"/>
    <s v="Professional"/>
    <s v="Yes"/>
    <n v="3"/>
    <s v="0-1 Miles"/>
    <s v="Europe"/>
    <n v="55"/>
    <s v="Middle Age"/>
    <x v="0"/>
  </r>
  <r>
    <n v="12666"/>
    <s v="Single"/>
    <x v="1"/>
    <n v="60000"/>
    <n v="0"/>
    <s v="Bachelors"/>
    <s v="Professional"/>
    <s v="No"/>
    <n v="4"/>
    <s v="2-5 Miles"/>
    <s v="Pacific"/>
    <n v="31"/>
    <s v="Middle Age"/>
    <x v="0"/>
  </r>
  <r>
    <n v="20598"/>
    <s v="Married"/>
    <x v="1"/>
    <n v="100000"/>
    <n v="3"/>
    <s v="Partial High School"/>
    <s v="Professional"/>
    <s v="Yes"/>
    <n v="0"/>
    <s v="more than 10 miles"/>
    <s v="Europe"/>
    <n v="59"/>
    <s v="OLD"/>
    <x v="1"/>
  </r>
  <r>
    <n v="21375"/>
    <s v="Single"/>
    <x v="1"/>
    <n v="20000"/>
    <n v="2"/>
    <s v="Partial High School"/>
    <s v="Clerical"/>
    <s v="Yes"/>
    <n v="2"/>
    <s v="5-10 Miles"/>
    <s v="Pacific"/>
    <n v="57"/>
    <s v="OLD"/>
    <x v="0"/>
  </r>
  <r>
    <n v="20839"/>
    <s v="Single"/>
    <x v="0"/>
    <n v="30000"/>
    <n v="3"/>
    <s v="Graduate Degree"/>
    <s v="Clerical"/>
    <s v="Yes"/>
    <n v="0"/>
    <s v="0-1 Miles"/>
    <s v="Europe"/>
    <n v="47"/>
    <s v="Middle Age"/>
    <x v="1"/>
  </r>
  <r>
    <n v="21738"/>
    <s v="Married"/>
    <x v="1"/>
    <n v="20000"/>
    <n v="1"/>
    <s v="Graduate Degree"/>
    <s v="Clerical"/>
    <s v="Yes"/>
    <n v="0"/>
    <s v="0-1 Miles"/>
    <s v="Europe"/>
    <n v="43"/>
    <s v="Middle Age"/>
    <x v="0"/>
  </r>
  <r>
    <n v="14164"/>
    <s v="Single"/>
    <x v="0"/>
    <n v="50000"/>
    <n v="0"/>
    <s v="Graduate Degree"/>
    <s v="Skilled Manual"/>
    <s v="Yes"/>
    <n v="0"/>
    <s v="0-1 Miles"/>
    <s v="Europe"/>
    <n v="36"/>
    <s v="Middle Age"/>
    <x v="1"/>
  </r>
  <r>
    <n v="14193"/>
    <s v="Single"/>
    <x v="0"/>
    <n v="100000"/>
    <n v="3"/>
    <s v="Partial College"/>
    <s v="Management"/>
    <s v="Yes"/>
    <n v="4"/>
    <s v="more than 10 miles"/>
    <s v="Europe"/>
    <n v="56"/>
    <s v="OLD"/>
    <x v="0"/>
  </r>
  <r>
    <n v="12705"/>
    <s v="Married"/>
    <x v="1"/>
    <n v="150000"/>
    <n v="0"/>
    <s v="Bachelors"/>
    <s v="Management"/>
    <s v="Yes"/>
    <n v="4"/>
    <s v="0-1 Miles"/>
    <s v="Pacific"/>
    <n v="37"/>
    <s v="Middle Age"/>
    <x v="1"/>
  </r>
  <r>
    <n v="22672"/>
    <s v="Single"/>
    <x v="0"/>
    <n v="30000"/>
    <n v="2"/>
    <s v="Partial College"/>
    <s v="Clerical"/>
    <s v="Yes"/>
    <n v="0"/>
    <s v="0-1 Miles"/>
    <s v="Europe"/>
    <n v="43"/>
    <s v="Middle Age"/>
    <x v="0"/>
  </r>
  <r>
    <n v="26219"/>
    <s v="Married"/>
    <x v="0"/>
    <n v="40000"/>
    <n v="1"/>
    <s v="Bachelors"/>
    <s v="Skilled Manual"/>
    <s v="Yes"/>
    <n v="1"/>
    <s v="1-2 Miles"/>
    <s v="Europe"/>
    <n v="33"/>
    <s v="Middle Age"/>
    <x v="1"/>
  </r>
  <r>
    <n v="28468"/>
    <s v="Married"/>
    <x v="0"/>
    <n v="10000"/>
    <n v="2"/>
    <s v="Partial College"/>
    <s v="Manual"/>
    <s v="Yes"/>
    <n v="0"/>
    <s v="1-2 Miles"/>
    <s v="Europe"/>
    <n v="51"/>
    <s v="Middle Age"/>
    <x v="0"/>
  </r>
  <r>
    <n v="23419"/>
    <s v="Single"/>
    <x v="0"/>
    <n v="70000"/>
    <n v="5"/>
    <s v="Bachelors"/>
    <s v="Professional"/>
    <s v="Yes"/>
    <n v="3"/>
    <s v="more than 10 miles"/>
    <s v="Pacific"/>
    <n v="39"/>
    <s v="Middle Age"/>
    <x v="0"/>
  </r>
  <r>
    <n v="17964"/>
    <s v="Married"/>
    <x v="1"/>
    <n v="40000"/>
    <n v="0"/>
    <s v="Graduate Degree"/>
    <s v="Clerical"/>
    <s v="Yes"/>
    <n v="0"/>
    <s v="0-1 Miles"/>
    <s v="Europe"/>
    <n v="37"/>
    <s v="Middle Age"/>
    <x v="1"/>
  </r>
  <r>
    <n v="20919"/>
    <s v="Single"/>
    <x v="0"/>
    <n v="30000"/>
    <n v="2"/>
    <s v="Partial College"/>
    <s v="Clerical"/>
    <s v="Yes"/>
    <n v="2"/>
    <s v="0-1 Miles"/>
    <s v="Europe"/>
    <n v="42"/>
    <s v="Middle Age"/>
    <x v="0"/>
  </r>
  <r>
    <n v="20927"/>
    <s v="Single"/>
    <x v="0"/>
    <n v="20000"/>
    <n v="5"/>
    <s v="High School"/>
    <s v="Manual"/>
    <s v="Yes"/>
    <n v="2"/>
    <s v="0-1 Miles"/>
    <s v="Europe"/>
    <n v="27"/>
    <s v="Adolesent"/>
    <x v="0"/>
  </r>
  <r>
    <n v="13133"/>
    <s v="Single"/>
    <x v="1"/>
    <n v="100000"/>
    <n v="5"/>
    <s v="Bachelors"/>
    <s v="Professional"/>
    <s v="Yes"/>
    <n v="1"/>
    <s v="5-10 Miles"/>
    <s v="Pacific"/>
    <n v="47"/>
    <s v="Middle Age"/>
    <x v="1"/>
  </r>
  <r>
    <n v="19626"/>
    <s v="Married"/>
    <x v="1"/>
    <n v="70000"/>
    <n v="5"/>
    <s v="Partial College"/>
    <s v="Skilled Manual"/>
    <s v="Yes"/>
    <n v="3"/>
    <s v="5-10 Miles"/>
    <s v="Pacific"/>
    <n v="45"/>
    <s v="Middle Age"/>
    <x v="0"/>
  </r>
  <r>
    <n v="21039"/>
    <s v="Single"/>
    <x v="0"/>
    <n v="50000"/>
    <n v="0"/>
    <s v="Graduate Degree"/>
    <s v="Skilled Manual"/>
    <s v="No"/>
    <n v="0"/>
    <s v="0-1 Miles"/>
    <s v="Europe"/>
    <n v="37"/>
    <s v="Middle Age"/>
    <x v="1"/>
  </r>
  <r>
    <n v="12231"/>
    <s v="Single"/>
    <x v="0"/>
    <n v="10000"/>
    <n v="2"/>
    <s v="Partial College"/>
    <s v="Manual"/>
    <s v="Yes"/>
    <n v="0"/>
    <s v="0-1 Miles"/>
    <s v="Europe"/>
    <n v="51"/>
    <s v="Middle Age"/>
    <x v="1"/>
  </r>
  <r>
    <n v="25665"/>
    <s v="Single"/>
    <x v="0"/>
    <n v="20000"/>
    <n v="0"/>
    <s v="High School"/>
    <s v="Manual"/>
    <s v="No"/>
    <n v="1"/>
    <s v="1-2 Miles"/>
    <s v="Europe"/>
    <n v="28"/>
    <s v="Adolesent"/>
    <x v="0"/>
  </r>
  <r>
    <n v="24061"/>
    <s v="Married"/>
    <x v="1"/>
    <n v="10000"/>
    <n v="4"/>
    <s v="Partial High School"/>
    <s v="Manual"/>
    <s v="Yes"/>
    <n v="1"/>
    <s v="0-1 Miles"/>
    <s v="Europe"/>
    <n v="40"/>
    <s v="Middle Age"/>
    <x v="1"/>
  </r>
  <r>
    <n v="26879"/>
    <s v="Single"/>
    <x v="0"/>
    <n v="20000"/>
    <n v="0"/>
    <s v="High School"/>
    <s v="Manual"/>
    <s v="No"/>
    <n v="1"/>
    <s v="2-5 Miles"/>
    <s v="Europe"/>
    <n v="30"/>
    <s v="Adolesent"/>
    <x v="0"/>
  </r>
  <r>
    <n v="12284"/>
    <s v="Married"/>
    <x v="0"/>
    <n v="30000"/>
    <n v="0"/>
    <s v="Bachelors"/>
    <s v="Clerical"/>
    <s v="No"/>
    <n v="0"/>
    <s v="0-1 Miles"/>
    <s v="Europe"/>
    <n v="36"/>
    <s v="Middle Age"/>
    <x v="1"/>
  </r>
  <r>
    <n v="26654"/>
    <s v="Married"/>
    <x v="0"/>
    <n v="90000"/>
    <n v="1"/>
    <s v="Graduate Degree"/>
    <s v="Management"/>
    <s v="Yes"/>
    <n v="0"/>
    <s v="0-1 Miles"/>
    <s v="Pacific"/>
    <n v="37"/>
    <s v="Middle Age"/>
    <x v="1"/>
  </r>
  <r>
    <n v="14545"/>
    <s v="Married"/>
    <x v="0"/>
    <n v="10000"/>
    <n v="2"/>
    <s v="Partial College"/>
    <s v="Manual"/>
    <s v="Yes"/>
    <n v="0"/>
    <s v="1-2 Miles"/>
    <s v="Europe"/>
    <n v="49"/>
    <s v="Middle Age"/>
    <x v="0"/>
  </r>
  <r>
    <n v="24201"/>
    <s v="Married"/>
    <x v="0"/>
    <n v="10000"/>
    <n v="2"/>
    <s v="High School"/>
    <s v="Manual"/>
    <s v="Yes"/>
    <n v="0"/>
    <s v="0-1 Miles"/>
    <s v="Europe"/>
    <n v="37"/>
    <s v="Middle Age"/>
    <x v="1"/>
  </r>
  <r>
    <n v="20625"/>
    <s v="Married"/>
    <x v="1"/>
    <n v="100000"/>
    <n v="0"/>
    <s v="High School"/>
    <s v="Management"/>
    <s v="Yes"/>
    <n v="3"/>
    <s v="more than 10 miles"/>
    <s v="Pacific"/>
    <n v="35"/>
    <s v="Middle Age"/>
    <x v="1"/>
  </r>
  <r>
    <n v="16390"/>
    <s v="Single"/>
    <x v="1"/>
    <n v="30000"/>
    <n v="1"/>
    <s v="Bachelors"/>
    <s v="Clerical"/>
    <s v="No"/>
    <n v="0"/>
    <s v="0-1 Miles"/>
    <s v="Europe"/>
    <n v="38"/>
    <s v="Middle Age"/>
    <x v="1"/>
  </r>
  <r>
    <n v="14804"/>
    <s v="Single"/>
    <x v="0"/>
    <n v="10000"/>
    <n v="3"/>
    <s v="Partial High School"/>
    <s v="Manual"/>
    <s v="Yes"/>
    <n v="2"/>
    <s v="0-1 Miles"/>
    <s v="Europe"/>
    <n v="43"/>
    <s v="Middle Age"/>
    <x v="0"/>
  </r>
  <r>
    <n v="12629"/>
    <s v="Single"/>
    <x v="1"/>
    <n v="20000"/>
    <n v="1"/>
    <s v="Partial College"/>
    <s v="Manual"/>
    <s v="No"/>
    <n v="0"/>
    <s v="0-1 Miles"/>
    <s v="Europe"/>
    <n v="37"/>
    <s v="Middle Age"/>
    <x v="0"/>
  </r>
  <r>
    <n v="14696"/>
    <s v="Single"/>
    <x v="1"/>
    <n v="10000"/>
    <n v="0"/>
    <s v="Partial High School"/>
    <s v="Manual"/>
    <s v="No"/>
    <n v="2"/>
    <s v="0-1 Miles"/>
    <s v="Europe"/>
    <n v="34"/>
    <s v="Middle Age"/>
    <x v="0"/>
  </r>
  <r>
    <n v="22005"/>
    <s v="Married"/>
    <x v="0"/>
    <n v="70000"/>
    <n v="5"/>
    <s v="Partial College"/>
    <s v="Skilled Manual"/>
    <s v="No"/>
    <n v="3"/>
    <s v="5-10 Miles"/>
    <s v="Pacific"/>
    <n v="46"/>
    <s v="Middle Age"/>
    <x v="0"/>
  </r>
  <r>
    <n v="14544"/>
    <s v="Single"/>
    <x v="1"/>
    <n v="10000"/>
    <n v="1"/>
    <s v="Partial College"/>
    <s v="Manual"/>
    <s v="Yes"/>
    <n v="0"/>
    <s v="0-1 Miles"/>
    <s v="Europe"/>
    <n v="49"/>
    <s v="Middle Age"/>
    <x v="0"/>
  </r>
  <r>
    <n v="14312"/>
    <s v="Married"/>
    <x v="0"/>
    <n v="60000"/>
    <n v="1"/>
    <s v="Partial College"/>
    <s v="Skilled Manual"/>
    <s v="Yes"/>
    <n v="1"/>
    <s v="5-10 Miles"/>
    <s v="Pacific"/>
    <n v="45"/>
    <s v="Middle Age"/>
    <x v="0"/>
  </r>
  <r>
    <n v="29120"/>
    <s v="Single"/>
    <x v="0"/>
    <n v="100000"/>
    <n v="1"/>
    <s v="Bachelors"/>
    <s v="Management"/>
    <s v="Yes"/>
    <n v="4"/>
    <s v="2-5 Miles"/>
    <s v="Pacific"/>
    <n v="48"/>
    <s v="Middle Age"/>
    <x v="0"/>
  </r>
  <r>
    <n v="24187"/>
    <s v="Single"/>
    <x v="0"/>
    <n v="30000"/>
    <n v="3"/>
    <s v="Graduate Degree"/>
    <s v="Clerical"/>
    <s v="No"/>
    <n v="0"/>
    <s v="0-1 Miles"/>
    <s v="Europe"/>
    <n v="46"/>
    <s v="Middle Age"/>
    <x v="1"/>
  </r>
  <r>
    <n v="15758"/>
    <s v="Married"/>
    <x v="1"/>
    <n v="130000"/>
    <n v="0"/>
    <s v="Graduate Degree"/>
    <s v="Management"/>
    <s v="Yes"/>
    <n v="0"/>
    <s v="5-10 Miles"/>
    <s v="Pacific"/>
    <n v="48"/>
    <s v="Middle Age"/>
    <x v="0"/>
  </r>
  <r>
    <n v="29094"/>
    <s v="Married"/>
    <x v="1"/>
    <n v="30000"/>
    <n v="3"/>
    <s v="High School"/>
    <s v="Skilled Manual"/>
    <s v="Yes"/>
    <n v="2"/>
    <s v="5-10 Miles"/>
    <s v="Pacific"/>
    <n v="54"/>
    <s v="Middle Age"/>
    <x v="1"/>
  </r>
  <r>
    <n v="28319"/>
    <s v="Single"/>
    <x v="0"/>
    <n v="60000"/>
    <n v="1"/>
    <s v="Partial College"/>
    <s v="Skilled Manual"/>
    <s v="No"/>
    <n v="1"/>
    <s v="0-1 Miles"/>
    <s v="Pacific"/>
    <n v="46"/>
    <s v="Middle Age"/>
    <x v="1"/>
  </r>
  <r>
    <n v="16406"/>
    <s v="Married"/>
    <x v="1"/>
    <n v="40000"/>
    <n v="0"/>
    <s v="Bachelors"/>
    <s v="Clerical"/>
    <s v="No"/>
    <n v="0"/>
    <s v="0-1 Miles"/>
    <s v="Europe"/>
    <n v="38"/>
    <s v="Middle Age"/>
    <x v="1"/>
  </r>
  <r>
    <n v="20923"/>
    <s v="Married"/>
    <x v="0"/>
    <n v="40000"/>
    <n v="1"/>
    <s v="Bachelors"/>
    <s v="Skilled Manual"/>
    <s v="Yes"/>
    <n v="0"/>
    <s v="0-1 Miles"/>
    <s v="Europe"/>
    <n v="42"/>
    <s v="Middle Age"/>
    <x v="1"/>
  </r>
  <r>
    <n v="11378"/>
    <s v="Single"/>
    <x v="0"/>
    <n v="10000"/>
    <n v="1"/>
    <s v="High School"/>
    <s v="Manual"/>
    <s v="No"/>
    <n v="1"/>
    <s v="2-5 Miles"/>
    <s v="Europe"/>
    <n v="46"/>
    <s v="Middle Age"/>
    <x v="1"/>
  </r>
  <r>
    <n v="20851"/>
    <s v="Single"/>
    <x v="1"/>
    <n v="20000"/>
    <n v="0"/>
    <s v="Partial College"/>
    <s v="Manual"/>
    <s v="No"/>
    <n v="1"/>
    <s v="2-5 Miles"/>
    <s v="Europe"/>
    <n v="36"/>
    <s v="Middle Age"/>
    <x v="1"/>
  </r>
  <r>
    <n v="21557"/>
    <s v="Single"/>
    <x v="0"/>
    <n v="110000"/>
    <n v="0"/>
    <s v="Partial College"/>
    <s v="Management"/>
    <s v="Yes"/>
    <n v="3"/>
    <s v="more than 10 miles"/>
    <s v="Pacific"/>
    <n v="32"/>
    <s v="Middle Age"/>
    <x v="1"/>
  </r>
  <r>
    <n v="26663"/>
    <s v="Single"/>
    <x v="0"/>
    <n v="60000"/>
    <n v="2"/>
    <s v="Bachelors"/>
    <s v="Professional"/>
    <s v="No"/>
    <n v="1"/>
    <s v="0-1 Miles"/>
    <s v="Pacific"/>
    <n v="39"/>
    <s v="Middle Age"/>
    <x v="1"/>
  </r>
  <r>
    <n v="11896"/>
    <s v="Married"/>
    <x v="1"/>
    <n v="100000"/>
    <n v="1"/>
    <s v="Graduate Degree"/>
    <s v="Management"/>
    <s v="Yes"/>
    <n v="0"/>
    <s v="2-5 Miles"/>
    <s v="Pacific"/>
    <n v="36"/>
    <s v="Middle Age"/>
    <x v="1"/>
  </r>
  <r>
    <n v="14189"/>
    <s v="Married"/>
    <x v="0"/>
    <n v="90000"/>
    <n v="4"/>
    <s v="High School"/>
    <s v="Professional"/>
    <s v="No"/>
    <n v="2"/>
    <s v="2-5 Miles"/>
    <s v="Europe"/>
    <n v="54"/>
    <s v="Middle Age"/>
    <x v="1"/>
  </r>
  <r>
    <n v="13136"/>
    <s v="Married"/>
    <x v="0"/>
    <n v="30000"/>
    <n v="2"/>
    <s v="Partial College"/>
    <s v="Clerical"/>
    <s v="No"/>
    <n v="2"/>
    <s v="5-10 Miles"/>
    <s v="Pacific"/>
    <n v="69"/>
    <s v="OLD"/>
    <x v="0"/>
  </r>
  <r>
    <n v="25906"/>
    <s v="Single"/>
    <x v="0"/>
    <n v="10000"/>
    <n v="5"/>
    <s v="High School"/>
    <s v="Skilled Manual"/>
    <s v="No"/>
    <n v="2"/>
    <s v="1-2 Miles"/>
    <s v="Pacific"/>
    <n v="62"/>
    <s v="OLD"/>
    <x v="0"/>
  </r>
  <r>
    <n v="17926"/>
    <s v="Single"/>
    <x v="0"/>
    <n v="40000"/>
    <n v="0"/>
    <s v="Bachelors"/>
    <s v="Clerical"/>
    <s v="No"/>
    <n v="0"/>
    <s v="0-1 Miles"/>
    <s v="Pacific"/>
    <n v="28"/>
    <s v="Adolesent"/>
    <x v="1"/>
  </r>
  <r>
    <n v="26928"/>
    <s v="Single"/>
    <x v="1"/>
    <n v="30000"/>
    <n v="1"/>
    <s v="Bachelors"/>
    <s v="Clerical"/>
    <s v="Yes"/>
    <n v="0"/>
    <s v="0-1 Miles"/>
    <s v="Europe"/>
    <n v="62"/>
    <s v="OLD"/>
    <x v="1"/>
  </r>
  <r>
    <n v="20897"/>
    <s v="Married"/>
    <x v="0"/>
    <n v="30000"/>
    <n v="1"/>
    <s v="Bachelors"/>
    <s v="Skilled Manual"/>
    <s v="Yes"/>
    <n v="2"/>
    <s v="0-1 Miles"/>
    <s v="Europe"/>
    <n v="40"/>
    <s v="Middle Age"/>
    <x v="0"/>
  </r>
  <r>
    <n v="28207"/>
    <s v="Married"/>
    <x v="1"/>
    <n v="80000"/>
    <n v="4"/>
    <s v="Graduate Degree"/>
    <s v="Management"/>
    <s v="Yes"/>
    <n v="1"/>
    <s v="0-1 Miles"/>
    <s v="Pacific"/>
    <n v="36"/>
    <s v="Middle Age"/>
    <x v="1"/>
  </r>
  <r>
    <n v="25923"/>
    <s v="Single"/>
    <x v="1"/>
    <n v="10000"/>
    <n v="2"/>
    <s v="Partial High School"/>
    <s v="Clerical"/>
    <s v="Yes"/>
    <n v="2"/>
    <s v="5-10 Miles"/>
    <s v="Pacific"/>
    <n v="58"/>
    <s v="OLD"/>
    <x v="0"/>
  </r>
  <r>
    <n v="11000"/>
    <s v="Married"/>
    <x v="1"/>
    <n v="90000"/>
    <n v="2"/>
    <s v="Bachelors"/>
    <s v="Professional"/>
    <s v="Yes"/>
    <n v="0"/>
    <s v="1-2 Miles"/>
    <s v="Pacific"/>
    <n v="40"/>
    <s v="Middle Age"/>
    <x v="1"/>
  </r>
  <r>
    <n v="20974"/>
    <s v="Married"/>
    <x v="1"/>
    <n v="10000"/>
    <n v="2"/>
    <s v="Bachelors"/>
    <s v="Clerical"/>
    <s v="Yes"/>
    <n v="1"/>
    <s v="0-1 Miles"/>
    <s v="Europe"/>
    <n v="66"/>
    <s v="OLD"/>
    <x v="0"/>
  </r>
  <r>
    <n v="28758"/>
    <s v="Married"/>
    <x v="1"/>
    <n v="40000"/>
    <n v="2"/>
    <s v="Partial College"/>
    <s v="Clerical"/>
    <s v="Yes"/>
    <n v="1"/>
    <s v="1-2 Miles"/>
    <s v="Europe"/>
    <n v="35"/>
    <s v="Middle Age"/>
    <x v="1"/>
  </r>
  <r>
    <n v="11381"/>
    <s v="Married"/>
    <x v="0"/>
    <n v="20000"/>
    <n v="2"/>
    <s v="Partial College"/>
    <s v="Manual"/>
    <s v="Yes"/>
    <n v="1"/>
    <s v="2-5 Miles"/>
    <s v="Europe"/>
    <n v="47"/>
    <s v="Middle Age"/>
    <x v="1"/>
  </r>
  <r>
    <n v="17522"/>
    <s v="Married"/>
    <x v="1"/>
    <n v="120000"/>
    <n v="4"/>
    <s v="Bachelors"/>
    <s v="Management"/>
    <s v="Yes"/>
    <n v="1"/>
    <s v="2-5 Miles"/>
    <s v="Pacific"/>
    <n v="47"/>
    <s v="Middle Age"/>
    <x v="0"/>
  </r>
  <r>
    <n v="21207"/>
    <s v="Married"/>
    <x v="1"/>
    <n v="60000"/>
    <n v="1"/>
    <s v="Partial College"/>
    <s v="Skilled Manual"/>
    <s v="Yes"/>
    <n v="1"/>
    <s v="5-10 Miles"/>
    <s v="Pacific"/>
    <n v="46"/>
    <s v="Middle Age"/>
    <x v="0"/>
  </r>
  <r>
    <n v="28102"/>
    <s v="Married"/>
    <x v="1"/>
    <n v="20000"/>
    <n v="4"/>
    <s v="High School"/>
    <s v="Skilled Manual"/>
    <s v="Yes"/>
    <n v="2"/>
    <s v="5-10 Miles"/>
    <s v="Pacific"/>
    <n v="58"/>
    <s v="OLD"/>
    <x v="1"/>
  </r>
  <r>
    <n v="23105"/>
    <s v="Single"/>
    <x v="1"/>
    <n v="40000"/>
    <n v="3"/>
    <s v="Partial High School"/>
    <s v="Clerical"/>
    <s v="No"/>
    <n v="2"/>
    <s v="5-10 Miles"/>
    <s v="Pacific"/>
    <n v="52"/>
    <s v="Middle Age"/>
    <x v="1"/>
  </r>
  <r>
    <n v="18740"/>
    <s v="Married"/>
    <x v="1"/>
    <n v="80000"/>
    <n v="5"/>
    <s v="Bachelors"/>
    <s v="Professional"/>
    <s v="No"/>
    <n v="1"/>
    <s v="0-1 Miles"/>
    <s v="Pacific"/>
    <n v="47"/>
    <s v="Middle Age"/>
    <x v="1"/>
  </r>
  <r>
    <n v="21213"/>
    <s v="Single"/>
    <x v="1"/>
    <n v="70000"/>
    <n v="0"/>
    <s v="Bachelors"/>
    <s v="Professional"/>
    <s v="No"/>
    <n v="1"/>
    <s v="5-10 Miles"/>
    <s v="Pacific"/>
    <n v="41"/>
    <s v="Middle Age"/>
    <x v="0"/>
  </r>
  <r>
    <n v="17352"/>
    <s v="Married"/>
    <x v="1"/>
    <n v="50000"/>
    <n v="2"/>
    <s v="Graduate Degree"/>
    <s v="Management"/>
    <s v="Yes"/>
    <n v="1"/>
    <s v="5-10 Miles"/>
    <s v="Pacific"/>
    <n v="64"/>
    <s v="OLD"/>
    <x v="1"/>
  </r>
  <r>
    <n v="14154"/>
    <s v="Married"/>
    <x v="1"/>
    <n v="30000"/>
    <n v="0"/>
    <s v="Bachelors"/>
    <s v="Clerical"/>
    <s v="Yes"/>
    <n v="0"/>
    <s v="0-1 Miles"/>
    <s v="Europe"/>
    <n v="35"/>
    <s v="Middle Age"/>
    <x v="1"/>
  </r>
  <r>
    <n v="19066"/>
    <s v="Married"/>
    <x v="1"/>
    <n v="130000"/>
    <n v="4"/>
    <s v="Partial College"/>
    <s v="Professional"/>
    <s v="No"/>
    <n v="3"/>
    <s v="more than 10 miles"/>
    <s v="Europe"/>
    <n v="54"/>
    <s v="Middle Age"/>
    <x v="0"/>
  </r>
  <r>
    <n v="11386"/>
    <s v="Married"/>
    <x v="0"/>
    <n v="30000"/>
    <n v="3"/>
    <s v="Bachelors"/>
    <s v="Clerical"/>
    <s v="Yes"/>
    <n v="0"/>
    <s v="0-1 Miles"/>
    <s v="Europe"/>
    <n v="45"/>
    <s v="Middle Age"/>
    <x v="0"/>
  </r>
  <r>
    <n v="20228"/>
    <s v="Married"/>
    <x v="1"/>
    <n v="100000"/>
    <n v="0"/>
    <s v="Graduate Degree"/>
    <s v="Management"/>
    <s v="Yes"/>
    <n v="0"/>
    <s v="2-5 Miles"/>
    <s v="Pacific"/>
    <n v="40"/>
    <s v="Middle Age"/>
    <x v="1"/>
  </r>
  <r>
    <n v="16675"/>
    <s v="Single"/>
    <x v="0"/>
    <n v="160000"/>
    <n v="0"/>
    <s v="Graduate Degree"/>
    <s v="Management"/>
    <s v="No"/>
    <n v="3"/>
    <s v="0-1 Miles"/>
    <s v="Pacific"/>
    <n v="47"/>
    <s v="Middle Age"/>
    <x v="1"/>
  </r>
  <r>
    <n v="16410"/>
    <s v="Single"/>
    <x v="0"/>
    <n v="10000"/>
    <n v="4"/>
    <s v="Partial High School"/>
    <s v="Manual"/>
    <s v="Yes"/>
    <n v="2"/>
    <s v="0-1 Miles"/>
    <s v="Europe"/>
    <n v="41"/>
    <s v="Middle Age"/>
    <x v="1"/>
  </r>
  <r>
    <n v="27760"/>
    <s v="Single"/>
    <x v="0"/>
    <n v="40000"/>
    <n v="0"/>
    <s v="Graduate Degree"/>
    <s v="Clerical"/>
    <s v="No"/>
    <n v="0"/>
    <s v="0-1 Miles"/>
    <s v="Europe"/>
    <n v="37"/>
    <s v="Middle Age"/>
    <x v="1"/>
  </r>
  <r>
    <n v="22930"/>
    <s v="Married"/>
    <x v="1"/>
    <n v="90000"/>
    <n v="4"/>
    <s v="Bachelors"/>
    <s v="Professional"/>
    <s v="Yes"/>
    <n v="0"/>
    <s v="1-2 Miles"/>
    <s v="Pacific"/>
    <n v="38"/>
    <s v="Middle Age"/>
    <x v="1"/>
  </r>
  <r>
    <n v="23780"/>
    <s v="Single"/>
    <x v="1"/>
    <n v="40000"/>
    <n v="2"/>
    <s v="Partial College"/>
    <s v="Clerical"/>
    <s v="No"/>
    <n v="2"/>
    <s v="0-1 Miles"/>
    <s v="Europe"/>
    <n v="36"/>
    <s v="Middle Age"/>
    <x v="1"/>
  </r>
  <r>
    <n v="20994"/>
    <s v="Married"/>
    <x v="0"/>
    <n v="20000"/>
    <n v="0"/>
    <s v="Bachelors"/>
    <s v="Clerical"/>
    <s v="No"/>
    <n v="0"/>
    <s v="0-1 Miles"/>
    <s v="Pacific"/>
    <n v="26"/>
    <s v="Adolesent"/>
    <x v="1"/>
  </r>
  <r>
    <n v="28379"/>
    <s v="Married"/>
    <x v="1"/>
    <n v="30000"/>
    <n v="1"/>
    <s v="Bachelors"/>
    <s v="Skilled Manual"/>
    <s v="Yes"/>
    <n v="2"/>
    <s v="0-1 Miles"/>
    <s v="Europe"/>
    <n v="40"/>
    <s v="Middle Age"/>
    <x v="0"/>
  </r>
  <r>
    <n v="14865"/>
    <s v="Single"/>
    <x v="1"/>
    <n v="40000"/>
    <n v="2"/>
    <s v="Partial College"/>
    <s v="Clerical"/>
    <s v="Yes"/>
    <n v="2"/>
    <s v="1-2 Miles"/>
    <s v="Europe"/>
    <n v="36"/>
    <s v="Middle Age"/>
    <x v="0"/>
  </r>
  <r>
    <n v="12663"/>
    <s v="Married"/>
    <x v="0"/>
    <n v="90000"/>
    <n v="5"/>
    <s v="Partial High School"/>
    <s v="Skilled Manual"/>
    <s v="Yes"/>
    <n v="2"/>
    <s v="more than 10 miles"/>
    <s v="Europe"/>
    <n v="59"/>
    <s v="OLD"/>
    <x v="0"/>
  </r>
  <r>
    <n v="24898"/>
    <s v="Single"/>
    <x v="0"/>
    <n v="80000"/>
    <n v="0"/>
    <s v="Bachelors"/>
    <s v="Professional"/>
    <s v="Yes"/>
    <n v="3"/>
    <s v="more than 10 miles"/>
    <s v="Pacific"/>
    <n v="32"/>
    <s v="Middle Age"/>
    <x v="0"/>
  </r>
  <r>
    <n v="19508"/>
    <s v="Married"/>
    <x v="1"/>
    <n v="10000"/>
    <n v="0"/>
    <s v="Partial High School"/>
    <s v="Manual"/>
    <s v="No"/>
    <n v="2"/>
    <s v="0-1 Miles"/>
    <s v="Europe"/>
    <n v="30"/>
    <s v="Adolesent"/>
    <x v="0"/>
  </r>
  <r>
    <n v="11489"/>
    <s v="Single"/>
    <x v="0"/>
    <n v="20000"/>
    <n v="0"/>
    <s v="Partial High School"/>
    <s v="Manual"/>
    <s v="No"/>
    <n v="2"/>
    <s v="1-2 Miles"/>
    <s v="Europe"/>
    <n v="35"/>
    <s v="Middle Age"/>
    <x v="1"/>
  </r>
  <r>
    <n v="18160"/>
    <s v="Married"/>
    <x v="1"/>
    <n v="130000"/>
    <n v="3"/>
    <s v="High School"/>
    <s v="Professional"/>
    <s v="Yes"/>
    <n v="4"/>
    <s v="5-10 Miles"/>
    <s v="Europe"/>
    <n v="51"/>
    <s v="Middle Age"/>
    <x v="1"/>
  </r>
  <r>
    <n v="25241"/>
    <s v="Married"/>
    <x v="1"/>
    <n v="90000"/>
    <n v="2"/>
    <s v="Bachelors"/>
    <s v="Professional"/>
    <s v="Yes"/>
    <n v="1"/>
    <s v="5-10 Miles"/>
    <s v="Pacific"/>
    <n v="47"/>
    <s v="Middle Age"/>
    <x v="0"/>
  </r>
  <r>
    <n v="24369"/>
    <s v="Married"/>
    <x v="1"/>
    <n v="80000"/>
    <n v="5"/>
    <s v="Graduate Degree"/>
    <s v="Management"/>
    <s v="No"/>
    <n v="2"/>
    <s v="0-1 Miles"/>
    <s v="Pacific"/>
    <n v="39"/>
    <s v="Middle Age"/>
    <x v="0"/>
  </r>
  <r>
    <n v="27165"/>
    <s v="Single"/>
    <x v="1"/>
    <n v="20000"/>
    <n v="0"/>
    <s v="Partial High School"/>
    <s v="Manual"/>
    <s v="No"/>
    <n v="2"/>
    <s v="0-1 Miles"/>
    <s v="Europe"/>
    <n v="34"/>
    <s v="Middle Age"/>
    <x v="0"/>
  </r>
  <r>
    <n v="29424"/>
    <s v="Married"/>
    <x v="1"/>
    <n v="10000"/>
    <n v="0"/>
    <s v="Partial High School"/>
    <s v="Manual"/>
    <s v="Yes"/>
    <n v="2"/>
    <s v="0-1 Miles"/>
    <s v="Europe"/>
    <n v="32"/>
    <s v="Middle Age"/>
    <x v="0"/>
  </r>
  <r>
    <n v="15926"/>
    <s v="Single"/>
    <x v="0"/>
    <n v="120000"/>
    <n v="3"/>
    <s v="High School"/>
    <s v="Professional"/>
    <s v="Yes"/>
    <n v="4"/>
    <s v="5-10 Miles"/>
    <s v="Europe"/>
    <n v="50"/>
    <s v="Middle Age"/>
    <x v="1"/>
  </r>
  <r>
    <n v="14554"/>
    <s v="Married"/>
    <x v="1"/>
    <n v="20000"/>
    <n v="1"/>
    <s v="Bachelors"/>
    <s v="Clerical"/>
    <s v="Yes"/>
    <n v="0"/>
    <s v="0-1 Miles"/>
    <s v="Europe"/>
    <n v="66"/>
    <s v="OLD"/>
    <x v="0"/>
  </r>
  <r>
    <n v="16468"/>
    <s v="Single"/>
    <x v="1"/>
    <n v="30000"/>
    <n v="0"/>
    <s v="Partial College"/>
    <s v="Clerical"/>
    <s v="Yes"/>
    <n v="1"/>
    <s v="2-5 Miles"/>
    <s v="Europe"/>
    <n v="30"/>
    <s v="Adolesent"/>
    <x v="0"/>
  </r>
  <r>
    <n v="19174"/>
    <s v="Single"/>
    <x v="0"/>
    <n v="30000"/>
    <n v="0"/>
    <s v="High School"/>
    <s v="Manual"/>
    <s v="No"/>
    <n v="1"/>
    <s v="2-5 Miles"/>
    <s v="Europe"/>
    <n v="32"/>
    <s v="Middle Age"/>
    <x v="1"/>
  </r>
  <r>
    <n v="19183"/>
    <s v="Single"/>
    <x v="1"/>
    <n v="10000"/>
    <n v="0"/>
    <s v="Partial High School"/>
    <s v="Manual"/>
    <s v="Yes"/>
    <n v="2"/>
    <s v="1-2 Miles"/>
    <s v="Europe"/>
    <n v="35"/>
    <s v="Middle Age"/>
    <x v="0"/>
  </r>
  <r>
    <n v="13683"/>
    <s v="Single"/>
    <x v="0"/>
    <n v="30000"/>
    <n v="0"/>
    <s v="High School"/>
    <s v="Manual"/>
    <s v="No"/>
    <n v="1"/>
    <s v="2-5 Miles"/>
    <s v="Europe"/>
    <n v="32"/>
    <s v="Middle Age"/>
    <x v="0"/>
  </r>
  <r>
    <n v="17848"/>
    <s v="Single"/>
    <x v="1"/>
    <n v="30000"/>
    <n v="0"/>
    <s v="Partial College"/>
    <s v="Clerical"/>
    <s v="No"/>
    <n v="1"/>
    <s v="2-5 Miles"/>
    <s v="Europe"/>
    <n v="31"/>
    <s v="Middle Age"/>
    <x v="1"/>
  </r>
  <r>
    <n v="17894"/>
    <s v="Married"/>
    <x v="0"/>
    <n v="20000"/>
    <n v="1"/>
    <s v="Bachelors"/>
    <s v="Clerical"/>
    <s v="Yes"/>
    <n v="0"/>
    <s v="0-1 Miles"/>
    <s v="Europe"/>
    <n v="50"/>
    <s v="Middle Age"/>
    <x v="1"/>
  </r>
  <r>
    <n v="25651"/>
    <s v="Married"/>
    <x v="1"/>
    <n v="40000"/>
    <n v="1"/>
    <s v="Bachelors"/>
    <s v="Skilled Manual"/>
    <s v="No"/>
    <n v="0"/>
    <s v="0-1 Miles"/>
    <s v="Europe"/>
    <n v="43"/>
    <s v="Middle Age"/>
    <x v="1"/>
  </r>
  <r>
    <n v="22936"/>
    <s v="Single"/>
    <x v="0"/>
    <n v="60000"/>
    <n v="1"/>
    <s v="Partial College"/>
    <s v="Skilled Manual"/>
    <s v="No"/>
    <n v="1"/>
    <s v="0-1 Miles"/>
    <s v="Pacific"/>
    <n v="45"/>
    <s v="Middle Age"/>
    <x v="1"/>
  </r>
  <r>
    <n v="23915"/>
    <s v="Married"/>
    <x v="1"/>
    <n v="20000"/>
    <n v="2"/>
    <s v="High School"/>
    <s v="Manual"/>
    <s v="Yes"/>
    <n v="2"/>
    <s v="0-1 Miles"/>
    <s v="Europe"/>
    <n v="42"/>
    <s v="Middle Age"/>
    <x v="0"/>
  </r>
  <r>
    <n v="24121"/>
    <s v="Single"/>
    <x v="0"/>
    <n v="30000"/>
    <n v="0"/>
    <s v="Partial College"/>
    <s v="Clerical"/>
    <s v="No"/>
    <n v="1"/>
    <s v="0-1 Miles"/>
    <s v="Europe"/>
    <n v="29"/>
    <s v="Adolesent"/>
    <x v="1"/>
  </r>
  <r>
    <n v="27878"/>
    <s v="Single"/>
    <x v="1"/>
    <n v="20000"/>
    <n v="0"/>
    <s v="Partial College"/>
    <s v="Manual"/>
    <s v="No"/>
    <n v="0"/>
    <s v="0-1 Miles"/>
    <s v="Pacific"/>
    <n v="28"/>
    <s v="Adolesent"/>
    <x v="1"/>
  </r>
  <r>
    <n v="13572"/>
    <s v="Single"/>
    <x v="1"/>
    <n v="10000"/>
    <n v="3"/>
    <s v="High School"/>
    <s v="Manual"/>
    <s v="Yes"/>
    <n v="0"/>
    <s v="0-1 Miles"/>
    <s v="Europe"/>
    <n v="37"/>
    <s v="Middle Age"/>
    <x v="1"/>
  </r>
  <r>
    <n v="27941"/>
    <s v="Married"/>
    <x v="0"/>
    <n v="80000"/>
    <n v="4"/>
    <s v="Partial College"/>
    <s v="Professional"/>
    <s v="Yes"/>
    <n v="2"/>
    <s v="2-5 Miles"/>
    <s v="Europe"/>
    <n v="53"/>
    <s v="Middle Age"/>
    <x v="0"/>
  </r>
  <r>
    <n v="26354"/>
    <s v="Single"/>
    <x v="1"/>
    <n v="40000"/>
    <n v="0"/>
    <s v="Graduate Degree"/>
    <s v="Clerical"/>
    <s v="No"/>
    <n v="0"/>
    <s v="0-1 Miles"/>
    <s v="Europe"/>
    <n v="38"/>
    <s v="Middle Age"/>
    <x v="1"/>
  </r>
  <r>
    <n v="14785"/>
    <s v="Single"/>
    <x v="1"/>
    <n v="30000"/>
    <n v="1"/>
    <s v="Bachelors"/>
    <s v="Clerical"/>
    <s v="No"/>
    <n v="1"/>
    <s v="1-2 Miles"/>
    <s v="Europe"/>
    <n v="39"/>
    <s v="Middle Age"/>
    <x v="0"/>
  </r>
  <r>
    <n v="17238"/>
    <s v="Single"/>
    <x v="1"/>
    <n v="80000"/>
    <n v="0"/>
    <s v="Bachelors"/>
    <s v="Professional"/>
    <s v="Yes"/>
    <n v="3"/>
    <s v="more than 10 miles"/>
    <s v="Pacific"/>
    <n v="32"/>
    <s v="Middle Age"/>
    <x v="0"/>
  </r>
  <r>
    <n v="23608"/>
    <s v="Married"/>
    <x v="0"/>
    <n v="150000"/>
    <n v="3"/>
    <s v="High School"/>
    <s v="Professional"/>
    <s v="Yes"/>
    <n v="3"/>
    <s v="0-1 Miles"/>
    <s v="Europe"/>
    <n v="51"/>
    <s v="Middle Age"/>
    <x v="1"/>
  </r>
  <r>
    <n v="22538"/>
    <s v="Single"/>
    <x v="0"/>
    <n v="10000"/>
    <n v="0"/>
    <s v="Partial High School"/>
    <s v="Manual"/>
    <s v="Yes"/>
    <n v="2"/>
    <s v="1-2 Miles"/>
    <s v="Europe"/>
    <n v="33"/>
    <s v="Middle Age"/>
    <x v="0"/>
  </r>
  <r>
    <n v="12332"/>
    <s v="Married"/>
    <x v="1"/>
    <n v="90000"/>
    <n v="4"/>
    <s v="High School"/>
    <s v="Management"/>
    <s v="Yes"/>
    <n v="3"/>
    <s v="5-10 Miles"/>
    <s v="Europe"/>
    <n v="58"/>
    <s v="OLD"/>
    <x v="1"/>
  </r>
  <r>
    <n v="17230"/>
    <s v="Married"/>
    <x v="1"/>
    <n v="80000"/>
    <n v="0"/>
    <s v="Bachelors"/>
    <s v="Professional"/>
    <s v="Yes"/>
    <n v="3"/>
    <s v="more than 10 miles"/>
    <s v="Pacific"/>
    <n v="30"/>
    <s v="Adolesent"/>
    <x v="0"/>
  </r>
  <r>
    <n v="13082"/>
    <s v="Single"/>
    <x v="1"/>
    <n v="130000"/>
    <n v="0"/>
    <s v="Graduate Degree"/>
    <s v="Management"/>
    <s v="Yes"/>
    <n v="0"/>
    <s v="2-5 Miles"/>
    <s v="Pacific"/>
    <n v="48"/>
    <s v="Middle Age"/>
    <x v="1"/>
  </r>
  <r>
    <n v="22518"/>
    <s v="Single"/>
    <x v="0"/>
    <n v="30000"/>
    <n v="3"/>
    <s v="Partial College"/>
    <s v="Clerical"/>
    <s v="No"/>
    <n v="2"/>
    <s v="0-1 Miles"/>
    <s v="Europe"/>
    <n v="27"/>
    <s v="Adolesent"/>
    <x v="1"/>
  </r>
  <r>
    <n v="13687"/>
    <s v="Married"/>
    <x v="1"/>
    <n v="40000"/>
    <n v="1"/>
    <s v="Bachelors"/>
    <s v="Skilled Manual"/>
    <s v="Yes"/>
    <n v="1"/>
    <s v="0-1 Miles"/>
    <s v="Europe"/>
    <n v="33"/>
    <s v="Middle Age"/>
    <x v="1"/>
  </r>
  <r>
    <n v="23571"/>
    <s v="Married"/>
    <x v="0"/>
    <n v="40000"/>
    <n v="2"/>
    <s v="Bachelors"/>
    <s v="Management"/>
    <s v="Yes"/>
    <n v="2"/>
    <s v="0-1 Miles"/>
    <s v="Pacific"/>
    <n v="66"/>
    <s v="OLD"/>
    <x v="1"/>
  </r>
  <r>
    <n v="19305"/>
    <s v="Single"/>
    <x v="0"/>
    <n v="10000"/>
    <n v="2"/>
    <s v="High School"/>
    <s v="Manual"/>
    <s v="Yes"/>
    <n v="1"/>
    <s v="0-1 Miles"/>
    <s v="Europe"/>
    <n v="38"/>
    <s v="Middle Age"/>
    <x v="1"/>
  </r>
  <r>
    <n v="22636"/>
    <s v="Single"/>
    <x v="0"/>
    <n v="40000"/>
    <n v="0"/>
    <s v="Bachelors"/>
    <s v="Clerical"/>
    <s v="No"/>
    <n v="0"/>
    <s v="0-1 Miles"/>
    <s v="Europe"/>
    <n v="38"/>
    <s v="Middle Age"/>
    <x v="1"/>
  </r>
  <r>
    <n v="17310"/>
    <s v="Married"/>
    <x v="1"/>
    <n v="60000"/>
    <n v="1"/>
    <s v="Partial College"/>
    <s v="Skilled Manual"/>
    <s v="Yes"/>
    <n v="1"/>
    <s v="0-1 Miles"/>
    <s v="Pacific"/>
    <n v="45"/>
    <s v="Middle Age"/>
    <x v="1"/>
  </r>
  <r>
    <n v="12133"/>
    <s v="Married"/>
    <x v="0"/>
    <n v="130000"/>
    <n v="3"/>
    <s v="Partial College"/>
    <s v="Professional"/>
    <s v="Yes"/>
    <n v="3"/>
    <s v="5-10 Miles"/>
    <s v="Europe"/>
    <n v="50"/>
    <s v="Middle Age"/>
    <x v="1"/>
  </r>
  <r>
    <n v="25918"/>
    <s v="Single"/>
    <x v="0"/>
    <n v="30000"/>
    <n v="2"/>
    <s v="Partial College"/>
    <s v="Clerical"/>
    <s v="No"/>
    <n v="2"/>
    <s v="5-10 Miles"/>
    <s v="Pacific"/>
    <n v="60"/>
    <s v="OLD"/>
    <x v="1"/>
  </r>
  <r>
    <n v="25752"/>
    <s v="Single"/>
    <x v="0"/>
    <n v="20000"/>
    <n v="2"/>
    <s v="Partial College"/>
    <s v="Manual"/>
    <s v="No"/>
    <n v="1"/>
    <s v="0-1 Miles"/>
    <s v="Europe"/>
    <n v="53"/>
    <s v="Middle Age"/>
    <x v="1"/>
  </r>
  <r>
    <n v="17324"/>
    <s v="Married"/>
    <x v="0"/>
    <n v="100000"/>
    <n v="4"/>
    <s v="Bachelors"/>
    <s v="Professional"/>
    <s v="Yes"/>
    <n v="1"/>
    <s v="more than 10 miles"/>
    <s v="Pacific"/>
    <n v="46"/>
    <s v="Middle Age"/>
    <x v="0"/>
  </r>
  <r>
    <n v="22918"/>
    <s v="Single"/>
    <x v="1"/>
    <n v="80000"/>
    <n v="5"/>
    <s v="Graduate Degree"/>
    <s v="Management"/>
    <s v="Yes"/>
    <n v="3"/>
    <s v="0-1 Miles"/>
    <s v="Pacific"/>
    <n v="50"/>
    <s v="Middle Age"/>
    <x v="0"/>
  </r>
  <r>
    <n v="12510"/>
    <s v="Married"/>
    <x v="1"/>
    <n v="40000"/>
    <n v="1"/>
    <s v="Bachelors"/>
    <s v="Skilled Manual"/>
    <s v="Yes"/>
    <n v="1"/>
    <s v="0-1 Miles"/>
    <s v="Europe"/>
    <n v="43"/>
    <s v="Middle Age"/>
    <x v="1"/>
  </r>
  <r>
    <n v="25512"/>
    <s v="Single"/>
    <x v="1"/>
    <n v="20000"/>
    <n v="0"/>
    <s v="High School"/>
    <s v="Manual"/>
    <s v="No"/>
    <n v="1"/>
    <s v="2-5 Miles"/>
    <s v="Europe"/>
    <n v="30"/>
    <s v="Adolesent"/>
    <x v="0"/>
  </r>
  <r>
    <n v="16179"/>
    <s v="Single"/>
    <x v="0"/>
    <n v="80000"/>
    <n v="5"/>
    <s v="Bachelors"/>
    <s v="Professional"/>
    <s v="Yes"/>
    <n v="4"/>
    <s v="1-2 Miles"/>
    <s v="Pacific"/>
    <n v="38"/>
    <s v="Middle Age"/>
    <x v="0"/>
  </r>
  <r>
    <n v="15628"/>
    <s v="Married"/>
    <x v="0"/>
    <n v="40000"/>
    <n v="1"/>
    <s v="Bachelors"/>
    <s v="Skilled Manual"/>
    <s v="Yes"/>
    <n v="1"/>
    <s v="0-1 Miles"/>
    <s v="Europe"/>
    <n v="89"/>
    <s v="OLD"/>
    <x v="0"/>
  </r>
  <r>
    <n v="20977"/>
    <s v="Married"/>
    <x v="1"/>
    <n v="20000"/>
    <n v="1"/>
    <s v="Bachelors"/>
    <s v="Clerical"/>
    <s v="Yes"/>
    <n v="0"/>
    <s v="0-1 Miles"/>
    <s v="Europe"/>
    <n v="64"/>
    <s v="OLD"/>
    <x v="1"/>
  </r>
  <r>
    <n v="18140"/>
    <s v="Married"/>
    <x v="1"/>
    <n v="130000"/>
    <n v="3"/>
    <s v="Partial College"/>
    <s v="Professional"/>
    <s v="No"/>
    <n v="3"/>
    <s v="5-10 Miles"/>
    <s v="Europe"/>
    <n v="51"/>
    <s v="Middle Age"/>
    <x v="1"/>
  </r>
  <r>
    <n v="20417"/>
    <s v="Married"/>
    <x v="1"/>
    <n v="30000"/>
    <n v="3"/>
    <s v="Partial College"/>
    <s v="Clerical"/>
    <s v="No"/>
    <n v="2"/>
    <s v="5-10 Miles"/>
    <s v="Pacific"/>
    <n v="56"/>
    <s v="OLD"/>
    <x v="0"/>
  </r>
  <r>
    <n v="18267"/>
    <s v="Married"/>
    <x v="1"/>
    <n v="60000"/>
    <n v="3"/>
    <s v="Bachelors"/>
    <s v="Professional"/>
    <s v="Yes"/>
    <n v="2"/>
    <s v="5-10 Miles"/>
    <s v="Pacific"/>
    <n v="43"/>
    <s v="Middle Age"/>
    <x v="0"/>
  </r>
  <r>
    <n v="13620"/>
    <s v="Single"/>
    <x v="1"/>
    <n v="70000"/>
    <n v="0"/>
    <s v="Bachelors"/>
    <s v="Professional"/>
    <s v="No"/>
    <n v="3"/>
    <s v="more than 10 miles"/>
    <s v="Pacific"/>
    <n v="30"/>
    <s v="Adolesent"/>
    <x v="1"/>
  </r>
  <r>
    <n v="22974"/>
    <s v="Married"/>
    <x v="0"/>
    <n v="30000"/>
    <n v="2"/>
    <s v="Partial College"/>
    <s v="Clerical"/>
    <s v="Yes"/>
    <n v="2"/>
    <s v="5-10 Miles"/>
    <s v="Pacific"/>
    <n v="69"/>
    <s v="OLD"/>
    <x v="0"/>
  </r>
  <r>
    <n v="13586"/>
    <s v="Married"/>
    <x v="1"/>
    <n v="80000"/>
    <n v="4"/>
    <s v="Partial College"/>
    <s v="Professional"/>
    <s v="Yes"/>
    <n v="2"/>
    <s v="more than 10 miles"/>
    <s v="Europe"/>
    <n v="53"/>
    <s v="Middle Age"/>
    <x v="0"/>
  </r>
  <r>
    <n v="17978"/>
    <s v="Married"/>
    <x v="1"/>
    <n v="40000"/>
    <n v="0"/>
    <s v="Graduate Degree"/>
    <s v="Clerical"/>
    <s v="Yes"/>
    <n v="0"/>
    <s v="0-1 Miles"/>
    <s v="Europe"/>
    <n v="37"/>
    <s v="Middle Age"/>
    <x v="1"/>
  </r>
  <r>
    <n v="12581"/>
    <s v="Single"/>
    <x v="0"/>
    <n v="10000"/>
    <n v="0"/>
    <s v="Partial College"/>
    <s v="Manual"/>
    <s v="No"/>
    <n v="1"/>
    <s v="0-1 Miles"/>
    <s v="Pacific"/>
    <n v="28"/>
    <s v="Adolesent"/>
    <x v="1"/>
  </r>
  <r>
    <n v="18018"/>
    <s v="Single"/>
    <x v="1"/>
    <n v="30000"/>
    <n v="3"/>
    <s v="Partial College"/>
    <s v="Clerical"/>
    <s v="Yes"/>
    <n v="0"/>
    <s v="0-1 Miles"/>
    <s v="Europe"/>
    <n v="43"/>
    <s v="Middle Age"/>
    <x v="0"/>
  </r>
  <r>
    <n v="28957"/>
    <s v="Single"/>
    <x v="0"/>
    <n v="120000"/>
    <n v="0"/>
    <s v="Partial High School"/>
    <s v="Professional"/>
    <s v="Yes"/>
    <n v="4"/>
    <s v="more than 10 miles"/>
    <s v="Pacific"/>
    <n v="34"/>
    <s v="Middle Age"/>
    <x v="1"/>
  </r>
  <r>
    <n v="13690"/>
    <s v="Single"/>
    <x v="0"/>
    <n v="20000"/>
    <n v="0"/>
    <s v="Partial High School"/>
    <s v="Manual"/>
    <s v="No"/>
    <n v="2"/>
    <s v="1-2 Miles"/>
    <s v="Europe"/>
    <n v="34"/>
    <s v="Middle Age"/>
    <x v="1"/>
  </r>
  <r>
    <n v="12568"/>
    <s v="Married"/>
    <x v="0"/>
    <n v="30000"/>
    <n v="1"/>
    <s v="Bachelors"/>
    <s v="Clerical"/>
    <s v="Yes"/>
    <n v="0"/>
    <s v="0-1 Miles"/>
    <s v="Europe"/>
    <n v="64"/>
    <s v="OLD"/>
    <x v="0"/>
  </r>
  <r>
    <n v="13122"/>
    <s v="Married"/>
    <x v="0"/>
    <n v="80000"/>
    <n v="0"/>
    <s v="Bachelors"/>
    <s v="Professional"/>
    <s v="Yes"/>
    <n v="1"/>
    <s v="1-2 Miles"/>
    <s v="Pacific"/>
    <n v="41"/>
    <s v="Middle Age"/>
    <x v="1"/>
  </r>
  <r>
    <n v="21184"/>
    <s v="Single"/>
    <x v="1"/>
    <n v="70000"/>
    <n v="0"/>
    <s v="Bachelors"/>
    <s v="Professional"/>
    <s v="No"/>
    <n v="1"/>
    <s v="5-10 Miles"/>
    <s v="Pacific"/>
    <n v="38"/>
    <s v="Middle Age"/>
    <x v="0"/>
  </r>
  <r>
    <n v="26150"/>
    <s v="Single"/>
    <x v="0"/>
    <n v="70000"/>
    <n v="0"/>
    <s v="Bachelors"/>
    <s v="Professional"/>
    <s v="No"/>
    <n v="1"/>
    <s v="0-1 Miles"/>
    <s v="Pacific"/>
    <n v="41"/>
    <s v="Middle Age"/>
    <x v="1"/>
  </r>
  <r>
    <n v="24151"/>
    <s v="Single"/>
    <x v="1"/>
    <n v="20000"/>
    <n v="1"/>
    <s v="Bachelors"/>
    <s v="Clerical"/>
    <s v="No"/>
    <n v="0"/>
    <s v="0-1 Miles"/>
    <s v="Europe"/>
    <n v="51"/>
    <s v="Middle Age"/>
    <x v="0"/>
  </r>
  <r>
    <n v="23962"/>
    <s v="Married"/>
    <x v="0"/>
    <n v="10000"/>
    <n v="0"/>
    <s v="Partial High School"/>
    <s v="Manual"/>
    <s v="Yes"/>
    <n v="2"/>
    <s v="1-2 Miles"/>
    <s v="Europe"/>
    <n v="32"/>
    <s v="Middle Age"/>
    <x v="0"/>
  </r>
  <r>
    <n v="17793"/>
    <s v="Married"/>
    <x v="0"/>
    <n v="40000"/>
    <n v="0"/>
    <s v="Bachelors"/>
    <s v="Clerical"/>
    <s v="Yes"/>
    <n v="0"/>
    <s v="0-1 Miles"/>
    <s v="Europe"/>
    <n v="38"/>
    <s v="Middle Age"/>
    <x v="1"/>
  </r>
  <r>
    <n v="14926"/>
    <s v="Married"/>
    <x v="1"/>
    <n v="30000"/>
    <n v="1"/>
    <s v="Bachelors"/>
    <s v="Clerical"/>
    <s v="Yes"/>
    <n v="0"/>
    <s v="0-1 Miles"/>
    <s v="Europe"/>
    <n v="38"/>
    <s v="Middle Age"/>
    <x v="1"/>
  </r>
  <r>
    <n v="16163"/>
    <s v="Single"/>
    <x v="1"/>
    <n v="60000"/>
    <n v="2"/>
    <s v="Bachelors"/>
    <s v="Professional"/>
    <s v="Yes"/>
    <n v="1"/>
    <s v="2-5 Miles"/>
    <s v="Pacific"/>
    <n v="38"/>
    <s v="Middle Age"/>
    <x v="1"/>
  </r>
  <r>
    <n v="21365"/>
    <s v="Married"/>
    <x v="0"/>
    <n v="10000"/>
    <n v="2"/>
    <s v="Partial High School"/>
    <s v="Clerical"/>
    <s v="Yes"/>
    <n v="2"/>
    <s v="5-10 Miles"/>
    <s v="Pacific"/>
    <n v="58"/>
    <s v="OLD"/>
    <x v="0"/>
  </r>
  <r>
    <n v="27771"/>
    <s v="Single"/>
    <x v="1"/>
    <n v="30000"/>
    <n v="1"/>
    <s v="Bachelors"/>
    <s v="Clerical"/>
    <s v="Yes"/>
    <n v="1"/>
    <s v="1-2 Miles"/>
    <s v="Europe"/>
    <n v="39"/>
    <s v="Middle Age"/>
    <x v="1"/>
  </r>
  <r>
    <n v="26167"/>
    <s v="Single"/>
    <x v="0"/>
    <n v="40000"/>
    <n v="2"/>
    <s v="Bachelors"/>
    <s v="Management"/>
    <s v="No"/>
    <n v="1"/>
    <s v="5-10 Miles"/>
    <s v="Pacific"/>
    <n v="53"/>
    <s v="Middle Age"/>
    <x v="1"/>
  </r>
  <r>
    <n v="25792"/>
    <s v="Single"/>
    <x v="0"/>
    <n v="110000"/>
    <n v="3"/>
    <s v="Bachelors"/>
    <s v="Management"/>
    <s v="Yes"/>
    <n v="4"/>
    <s v="more than 10 miles"/>
    <s v="Europe"/>
    <n v="53"/>
    <s v="Middle Age"/>
    <x v="0"/>
  </r>
  <r>
    <n v="11555"/>
    <s v="Married"/>
    <x v="0"/>
    <n v="40000"/>
    <n v="1"/>
    <s v="Bachelors"/>
    <s v="Clerical"/>
    <s v="Yes"/>
    <n v="0"/>
    <s v="0-1 Miles"/>
    <s v="Europe"/>
    <n v="80"/>
    <s v="OLD"/>
    <x v="0"/>
  </r>
  <r>
    <n v="22381"/>
    <s v="Married"/>
    <x v="1"/>
    <n v="10000"/>
    <n v="1"/>
    <s v="Graduate Degree"/>
    <s v="Manual"/>
    <s v="Yes"/>
    <n v="0"/>
    <s v="0-1 Miles"/>
    <s v="Europe"/>
    <n v="44"/>
    <s v="Middle Age"/>
    <x v="0"/>
  </r>
  <r>
    <n v="17882"/>
    <s v="Married"/>
    <x v="1"/>
    <n v="20000"/>
    <n v="1"/>
    <s v="Graduate Degree"/>
    <s v="Clerical"/>
    <s v="Yes"/>
    <n v="0"/>
    <s v="0-1 Miles"/>
    <s v="Europe"/>
    <n v="44"/>
    <s v="Middle Age"/>
    <x v="0"/>
  </r>
  <r>
    <n v="22174"/>
    <s v="Married"/>
    <x v="1"/>
    <n v="30000"/>
    <n v="3"/>
    <s v="High School"/>
    <s v="Skilled Manual"/>
    <s v="Yes"/>
    <n v="2"/>
    <s v="5-10 Miles"/>
    <s v="Pacific"/>
    <n v="54"/>
    <s v="Middle Age"/>
    <x v="1"/>
  </r>
  <r>
    <n v="22439"/>
    <s v="Married"/>
    <x v="0"/>
    <n v="30000"/>
    <n v="0"/>
    <s v="Bachelors"/>
    <s v="Clerical"/>
    <s v="Yes"/>
    <n v="0"/>
    <s v="0-1 Miles"/>
    <s v="Europe"/>
    <n v="37"/>
    <s v="Middle Age"/>
    <x v="1"/>
  </r>
  <r>
    <n v="18012"/>
    <s v="Married"/>
    <x v="0"/>
    <n v="40000"/>
    <n v="1"/>
    <s v="Bachelors"/>
    <s v="Skilled Manual"/>
    <s v="Yes"/>
    <n v="0"/>
    <s v="0-1 Miles"/>
    <s v="Europe"/>
    <n v="41"/>
    <s v="Middle Age"/>
    <x v="0"/>
  </r>
  <r>
    <n v="27582"/>
    <s v="Single"/>
    <x v="0"/>
    <n v="90000"/>
    <n v="2"/>
    <s v="Bachelors"/>
    <s v="Professional"/>
    <s v="No"/>
    <n v="0"/>
    <s v="0-1 Miles"/>
    <s v="Pacific"/>
    <n v="36"/>
    <s v="Middle Age"/>
    <x v="1"/>
  </r>
  <r>
    <n v="12744"/>
    <s v="Single"/>
    <x v="0"/>
    <n v="40000"/>
    <n v="2"/>
    <s v="Partial College"/>
    <s v="Clerical"/>
    <s v="Yes"/>
    <n v="0"/>
    <s v="0-1 Miles"/>
    <s v="Europe"/>
    <n v="33"/>
    <s v="Middle Age"/>
    <x v="0"/>
  </r>
  <r>
    <n v="22821"/>
    <s v="Married"/>
    <x v="0"/>
    <n v="130000"/>
    <n v="3"/>
    <s v="Partial College"/>
    <s v="Professional"/>
    <s v="Yes"/>
    <n v="4"/>
    <s v="0-1 Miles"/>
    <s v="Europe"/>
    <n v="52"/>
    <s v="Middle Age"/>
    <x v="0"/>
  </r>
  <r>
    <n v="20171"/>
    <s v="Married"/>
    <x v="0"/>
    <n v="20000"/>
    <n v="2"/>
    <s v="Partial College"/>
    <s v="Manual"/>
    <s v="Yes"/>
    <n v="1"/>
    <s v="0-1 Miles"/>
    <s v="Europe"/>
    <n v="46"/>
    <s v="Middle Age"/>
    <x v="1"/>
  </r>
  <r>
    <n v="11116"/>
    <s v="Married"/>
    <x v="1"/>
    <n v="70000"/>
    <n v="5"/>
    <s v="Partial College"/>
    <s v="Skilled Manual"/>
    <s v="Yes"/>
    <n v="2"/>
    <s v="5-10 Miles"/>
    <s v="Pacific"/>
    <n v="43"/>
    <s v="Middle Age"/>
    <x v="0"/>
  </r>
  <r>
    <n v="20053"/>
    <s v="Single"/>
    <x v="1"/>
    <n v="40000"/>
    <n v="2"/>
    <s v="Partial College"/>
    <s v="Clerical"/>
    <s v="Yes"/>
    <n v="0"/>
    <s v="0-1 Miles"/>
    <s v="Europe"/>
    <n v="34"/>
    <s v="Middle Age"/>
    <x v="0"/>
  </r>
  <r>
    <n v="25266"/>
    <s v="Single"/>
    <x v="0"/>
    <n v="30000"/>
    <n v="2"/>
    <s v="Partial College"/>
    <s v="Clerical"/>
    <s v="No"/>
    <n v="2"/>
    <s v="5-10 Miles"/>
    <s v="Pacific"/>
    <n v="67"/>
    <s v="OLD"/>
    <x v="0"/>
  </r>
  <r>
    <n v="17960"/>
    <s v="Married"/>
    <x v="0"/>
    <n v="40000"/>
    <n v="0"/>
    <s v="Graduate Degree"/>
    <s v="Clerical"/>
    <s v="Yes"/>
    <n v="0"/>
    <s v="0-1 Miles"/>
    <s v="Europe"/>
    <n v="35"/>
    <s v="Middle Age"/>
    <x v="1"/>
  </r>
  <r>
    <n v="13961"/>
    <s v="Married"/>
    <x v="0"/>
    <n v="80000"/>
    <n v="5"/>
    <s v="Graduate Degree"/>
    <s v="Management"/>
    <s v="Yes"/>
    <n v="3"/>
    <s v="0-1 Miles"/>
    <s v="Pacific"/>
    <n v="40"/>
    <s v="Middle Age"/>
    <x v="0"/>
  </r>
  <r>
    <n v="11897"/>
    <s v="Single"/>
    <x v="1"/>
    <n v="60000"/>
    <n v="2"/>
    <s v="Bachelors"/>
    <s v="Professional"/>
    <s v="No"/>
    <n v="1"/>
    <s v="0-1 Miles"/>
    <s v="Pacific"/>
    <n v="37"/>
    <s v="Middle Age"/>
    <x v="1"/>
  </r>
  <r>
    <n v="11139"/>
    <s v="Single"/>
    <x v="0"/>
    <n v="30000"/>
    <n v="2"/>
    <s v="Partial College"/>
    <s v="Clerical"/>
    <s v="No"/>
    <n v="2"/>
    <s v="5-10 Miles"/>
    <s v="Pacific"/>
    <n v="67"/>
    <s v="OLD"/>
    <x v="0"/>
  </r>
  <r>
    <n v="11576"/>
    <s v="Married"/>
    <x v="1"/>
    <n v="30000"/>
    <n v="1"/>
    <s v="Bachelors"/>
    <s v="Skilled Manual"/>
    <s v="Yes"/>
    <n v="2"/>
    <s v="0-1 Miles"/>
    <s v="Europe"/>
    <n v="41"/>
    <s v="Middle Age"/>
    <x v="1"/>
  </r>
  <r>
    <n v="19255"/>
    <s v="Single"/>
    <x v="1"/>
    <n v="10000"/>
    <n v="2"/>
    <s v="Partial College"/>
    <s v="Manual"/>
    <s v="Yes"/>
    <n v="1"/>
    <s v="0-1 Miles"/>
    <s v="Europe"/>
    <n v="51"/>
    <s v="Middle Age"/>
    <x v="1"/>
  </r>
  <r>
    <n v="18153"/>
    <s v="Married"/>
    <x v="0"/>
    <n v="100000"/>
    <n v="2"/>
    <s v="Bachelors"/>
    <s v="Management"/>
    <s v="Yes"/>
    <n v="4"/>
    <s v="more than 10 miles"/>
    <s v="Europe"/>
    <n v="59"/>
    <s v="OLD"/>
    <x v="0"/>
  </r>
  <r>
    <n v="14547"/>
    <s v="Married"/>
    <x v="1"/>
    <n v="10000"/>
    <n v="2"/>
    <s v="Partial College"/>
    <s v="Manual"/>
    <s v="Yes"/>
    <n v="0"/>
    <s v="1-2 Miles"/>
    <s v="Europe"/>
    <n v="51"/>
    <s v="Middle Age"/>
    <x v="0"/>
  </r>
  <r>
    <n v="24901"/>
    <s v="Single"/>
    <x v="1"/>
    <n v="110000"/>
    <n v="0"/>
    <s v="Partial College"/>
    <s v="Management"/>
    <s v="No"/>
    <n v="3"/>
    <s v="more than 10 miles"/>
    <s v="Pacific"/>
    <n v="32"/>
    <s v="Middle Age"/>
    <x v="1"/>
  </r>
  <r>
    <n v="27169"/>
    <s v="Single"/>
    <x v="1"/>
    <n v="30000"/>
    <n v="0"/>
    <s v="High School"/>
    <s v="Manual"/>
    <s v="Yes"/>
    <n v="1"/>
    <s v="2-5 Miles"/>
    <s v="Europe"/>
    <n v="34"/>
    <s v="Middle Age"/>
    <x v="1"/>
  </r>
  <r>
    <n v="14805"/>
    <s v="Single"/>
    <x v="0"/>
    <n v="10000"/>
    <n v="3"/>
    <s v="Partial High School"/>
    <s v="Manual"/>
    <s v="Yes"/>
    <n v="2"/>
    <s v="0-1 Miles"/>
    <s v="Europe"/>
    <n v="43"/>
    <s v="Middle Age"/>
    <x v="0"/>
  </r>
  <r>
    <n v="15822"/>
    <s v="Married"/>
    <x v="1"/>
    <n v="40000"/>
    <n v="2"/>
    <s v="Bachelors"/>
    <s v="Management"/>
    <s v="Yes"/>
    <n v="2"/>
    <s v="0-1 Miles"/>
    <s v="Pacific"/>
    <n v="67"/>
    <s v="OLD"/>
    <x v="0"/>
  </r>
  <r>
    <n v="19389"/>
    <s v="Single"/>
    <x v="1"/>
    <n v="30000"/>
    <n v="0"/>
    <s v="Partial College"/>
    <s v="Clerical"/>
    <s v="No"/>
    <n v="1"/>
    <s v="2-5 Miles"/>
    <s v="Europe"/>
    <n v="28"/>
    <s v="Adolesent"/>
    <x v="0"/>
  </r>
  <r>
    <n v="17048"/>
    <s v="Single"/>
    <x v="0"/>
    <n v="90000"/>
    <n v="1"/>
    <s v="Graduate Degree"/>
    <s v="Management"/>
    <s v="Yes"/>
    <n v="0"/>
    <s v="0-1 Miles"/>
    <s v="Pacific"/>
    <n v="36"/>
    <s v="Middle Age"/>
    <x v="1"/>
  </r>
  <r>
    <n v="22204"/>
    <s v="Married"/>
    <x v="1"/>
    <n v="110000"/>
    <n v="4"/>
    <s v="Bachelors"/>
    <s v="Management"/>
    <s v="Yes"/>
    <n v="3"/>
    <s v="2-5 Miles"/>
    <s v="Pacific"/>
    <n v="48"/>
    <s v="Middle Age"/>
    <x v="0"/>
  </r>
  <r>
    <n v="12718"/>
    <s v="Single"/>
    <x v="0"/>
    <n v="30000"/>
    <n v="0"/>
    <s v="Partial College"/>
    <s v="Clerical"/>
    <s v="Yes"/>
    <n v="1"/>
    <s v="2-5 Miles"/>
    <s v="Europe"/>
    <n v="31"/>
    <s v="Middle Age"/>
    <x v="0"/>
  </r>
  <r>
    <n v="15019"/>
    <s v="Single"/>
    <x v="0"/>
    <n v="30000"/>
    <n v="3"/>
    <s v="High School"/>
    <s v="Skilled Manual"/>
    <s v="Yes"/>
    <n v="2"/>
    <s v="5-10 Miles"/>
    <s v="Pacific"/>
    <n v="55"/>
    <s v="Middle Age"/>
    <x v="0"/>
  </r>
  <r>
    <n v="28488"/>
    <s v="Single"/>
    <x v="1"/>
    <n v="20000"/>
    <n v="0"/>
    <s v="Partial College"/>
    <s v="Manual"/>
    <s v="Yes"/>
    <n v="0"/>
    <s v="0-1 Miles"/>
    <s v="Pacific"/>
    <n v="28"/>
    <s v="Adolesent"/>
    <x v="1"/>
  </r>
  <r>
    <n v="21891"/>
    <s v="Married"/>
    <x v="0"/>
    <n v="110000"/>
    <n v="0"/>
    <s v="High School"/>
    <s v="Management"/>
    <s v="Yes"/>
    <n v="3"/>
    <s v="more than 10 miles"/>
    <s v="Pacific"/>
    <n v="34"/>
    <s v="Middle Age"/>
    <x v="1"/>
  </r>
  <r>
    <n v="27814"/>
    <s v="Single"/>
    <x v="0"/>
    <n v="30000"/>
    <n v="3"/>
    <s v="Partial College"/>
    <s v="Clerical"/>
    <s v="No"/>
    <n v="1"/>
    <s v="0-1 Miles"/>
    <s v="Europe"/>
    <n v="26"/>
    <s v="Adolesent"/>
    <x v="0"/>
  </r>
  <r>
    <n v="22175"/>
    <s v="Married"/>
    <x v="0"/>
    <n v="30000"/>
    <n v="3"/>
    <s v="High School"/>
    <s v="Skilled Manual"/>
    <s v="Yes"/>
    <n v="2"/>
    <s v="5-10 Miles"/>
    <s v="Pacific"/>
    <n v="53"/>
    <s v="Middle Age"/>
    <x v="1"/>
  </r>
  <r>
    <n v="29447"/>
    <s v="Single"/>
    <x v="0"/>
    <n v="10000"/>
    <n v="2"/>
    <s v="Bachelors"/>
    <s v="Clerical"/>
    <s v="No"/>
    <n v="1"/>
    <s v="2-5 Miles"/>
    <s v="Europe"/>
    <n v="68"/>
    <s v="OLD"/>
    <x v="0"/>
  </r>
  <r>
    <n v="19784"/>
    <s v="Married"/>
    <x v="0"/>
    <n v="80000"/>
    <n v="2"/>
    <s v="High School"/>
    <s v="Skilled Manual"/>
    <s v="Yes"/>
    <n v="2"/>
    <s v="5-10 Miles"/>
    <s v="Pacific"/>
    <n v="50"/>
    <s v="Middle Age"/>
    <x v="1"/>
  </r>
  <r>
    <n v="27824"/>
    <s v="Single"/>
    <x v="0"/>
    <n v="30000"/>
    <n v="3"/>
    <s v="Partial College"/>
    <s v="Clerical"/>
    <s v="Yes"/>
    <n v="2"/>
    <s v="0-1 Miles"/>
    <s v="Europe"/>
    <n v="28"/>
    <s v="Adolesent"/>
    <x v="1"/>
  </r>
  <r>
    <n v="24093"/>
    <s v="Single"/>
    <x v="0"/>
    <n v="80000"/>
    <n v="0"/>
    <s v="Graduate Degree"/>
    <s v="Skilled Manual"/>
    <s v="No"/>
    <n v="0"/>
    <s v="0-1 Miles"/>
    <s v="Europe"/>
    <n v="40"/>
    <s v="Middle Age"/>
    <x v="1"/>
  </r>
  <r>
    <n v="19618"/>
    <s v="Married"/>
    <x v="1"/>
    <n v="70000"/>
    <n v="5"/>
    <s v="Partial College"/>
    <s v="Skilled Manual"/>
    <s v="Yes"/>
    <n v="2"/>
    <s v="0-1 Miles"/>
    <s v="Pacific"/>
    <n v="44"/>
    <s v="Middle Age"/>
    <x v="0"/>
  </r>
  <r>
    <n v="21561"/>
    <s v="Single"/>
    <x v="1"/>
    <n v="90000"/>
    <n v="0"/>
    <s v="Bachelors"/>
    <s v="Professional"/>
    <s v="No"/>
    <n v="3"/>
    <s v="more than 10 miles"/>
    <s v="Pacific"/>
    <n v="34"/>
    <s v="Middle Age"/>
    <x v="1"/>
  </r>
  <r>
    <n v="11061"/>
    <s v="Married"/>
    <x v="1"/>
    <n v="70000"/>
    <n v="2"/>
    <s v="Partial College"/>
    <s v="Skilled Manual"/>
    <s v="Yes"/>
    <n v="2"/>
    <s v="5-10 Miles"/>
    <s v="Pacific"/>
    <n v="52"/>
    <s v="Middle Age"/>
    <x v="1"/>
  </r>
  <r>
    <n v="26651"/>
    <s v="Single"/>
    <x v="1"/>
    <n v="80000"/>
    <n v="4"/>
    <s v="Graduate Degree"/>
    <s v="Management"/>
    <s v="Yes"/>
    <n v="0"/>
    <s v="0-1 Miles"/>
    <s v="Pacific"/>
    <n v="36"/>
    <s v="Middle Age"/>
    <x v="1"/>
  </r>
  <r>
    <n v="21108"/>
    <s v="Married"/>
    <x v="0"/>
    <n v="40000"/>
    <n v="1"/>
    <s v="Bachelors"/>
    <s v="Skilled Manual"/>
    <s v="Yes"/>
    <n v="1"/>
    <s v="0-1 Miles"/>
    <s v="Europe"/>
    <n v="43"/>
    <s v="Middle Age"/>
    <x v="1"/>
  </r>
  <r>
    <n v="12731"/>
    <s v="Single"/>
    <x v="1"/>
    <n v="30000"/>
    <n v="0"/>
    <s v="High School"/>
    <s v="Manual"/>
    <s v="No"/>
    <n v="1"/>
    <s v="1-2 Miles"/>
    <s v="Europe"/>
    <n v="32"/>
    <s v="Middle Age"/>
    <x v="0"/>
  </r>
  <r>
    <n v="25307"/>
    <s v="Married"/>
    <x v="0"/>
    <n v="40000"/>
    <n v="1"/>
    <s v="Bachelors"/>
    <s v="Skilled Manual"/>
    <s v="Yes"/>
    <n v="1"/>
    <s v="1-2 Miles"/>
    <s v="Europe"/>
    <n v="32"/>
    <s v="Middle Age"/>
    <x v="1"/>
  </r>
  <r>
    <n v="14278"/>
    <s v="Married"/>
    <x v="0"/>
    <n v="130000"/>
    <n v="0"/>
    <s v="Graduate Degree"/>
    <s v="Management"/>
    <s v="Yes"/>
    <n v="1"/>
    <s v="more than 10 miles"/>
    <s v="Pacific"/>
    <n v="48"/>
    <s v="Middle Age"/>
    <x v="0"/>
  </r>
  <r>
    <n v="20711"/>
    <s v="Married"/>
    <x v="0"/>
    <n v="40000"/>
    <n v="1"/>
    <s v="Bachelors"/>
    <s v="Skilled Manual"/>
    <s v="Yes"/>
    <n v="0"/>
    <s v="1-2 Miles"/>
    <s v="Europe"/>
    <n v="32"/>
    <s v="Middle Age"/>
    <x v="1"/>
  </r>
  <r>
    <n v="11383"/>
    <s v="Married"/>
    <x v="0"/>
    <n v="30000"/>
    <n v="3"/>
    <s v="Graduate Degree"/>
    <s v="Clerical"/>
    <s v="Yes"/>
    <n v="0"/>
    <s v="0-1 Miles"/>
    <s v="Europe"/>
    <n v="46"/>
    <s v="Middle Age"/>
    <x v="0"/>
  </r>
  <r>
    <n v="12497"/>
    <s v="Married"/>
    <x v="0"/>
    <n v="40000"/>
    <n v="1"/>
    <s v="Bachelors"/>
    <s v="Skilled Manual"/>
    <s v="Yes"/>
    <n v="0"/>
    <s v="0-1 Miles"/>
    <s v="Europe"/>
    <n v="42"/>
    <s v="Middle Age"/>
    <x v="0"/>
  </r>
  <r>
    <n v="16559"/>
    <s v="Single"/>
    <x v="0"/>
    <n v="10000"/>
    <n v="2"/>
    <s v="High School"/>
    <s v="Manual"/>
    <s v="Yes"/>
    <n v="0"/>
    <s v="0-1 Miles"/>
    <s v="Europe"/>
    <n v="36"/>
    <s v="Middle Age"/>
    <x v="1"/>
  </r>
  <r>
    <n v="11585"/>
    <s v="Married"/>
    <x v="0"/>
    <n v="40000"/>
    <n v="1"/>
    <s v="Bachelors"/>
    <s v="Skilled Manual"/>
    <s v="Yes"/>
    <n v="0"/>
    <s v="0-1 Miles"/>
    <s v="Europe"/>
    <n v="41"/>
    <s v="Middle Age"/>
    <x v="0"/>
  </r>
  <r>
    <n v="20277"/>
    <s v="Married"/>
    <x v="0"/>
    <n v="30000"/>
    <n v="2"/>
    <s v="Partial College"/>
    <s v="Clerical"/>
    <s v="No"/>
    <n v="2"/>
    <s v="0-1 Miles"/>
    <s v="Pacific"/>
    <n v="69"/>
    <s v="OLD"/>
    <x v="0"/>
  </r>
  <r>
    <n v="26765"/>
    <s v="Single"/>
    <x v="0"/>
    <n v="70000"/>
    <n v="5"/>
    <s v="Partial College"/>
    <s v="Skilled Manual"/>
    <s v="Yes"/>
    <n v="2"/>
    <s v="5-10 Miles"/>
    <s v="Pacific"/>
    <n v="45"/>
    <s v="Middle Age"/>
    <x v="0"/>
  </r>
  <r>
    <n v="12389"/>
    <s v="Single"/>
    <x v="1"/>
    <n v="30000"/>
    <n v="0"/>
    <s v="High School"/>
    <s v="Manual"/>
    <s v="No"/>
    <n v="1"/>
    <s v="2-5 Miles"/>
    <s v="Europe"/>
    <n v="34"/>
    <s v="Middle Age"/>
    <x v="0"/>
  </r>
  <r>
    <n v="13585"/>
    <s v="Married"/>
    <x v="0"/>
    <n v="80000"/>
    <n v="4"/>
    <s v="Partial College"/>
    <s v="Professional"/>
    <s v="No"/>
    <n v="1"/>
    <s v="2-5 Miles"/>
    <s v="Europe"/>
    <n v="53"/>
    <s v="Middle Age"/>
    <x v="1"/>
  </r>
  <r>
    <n v="26385"/>
    <s v="Single"/>
    <x v="1"/>
    <n v="120000"/>
    <n v="3"/>
    <s v="High School"/>
    <s v="Professional"/>
    <s v="No"/>
    <n v="4"/>
    <s v="5-10 Miles"/>
    <s v="Europe"/>
    <n v="50"/>
    <s v="Middle Age"/>
    <x v="0"/>
  </r>
  <r>
    <n v="12236"/>
    <s v="Married"/>
    <x v="0"/>
    <n v="20000"/>
    <n v="1"/>
    <s v="Partial College"/>
    <s v="Manual"/>
    <s v="Yes"/>
    <n v="0"/>
    <s v="0-1 Miles"/>
    <s v="Europe"/>
    <n v="65"/>
    <s v="OLD"/>
    <x v="0"/>
  </r>
  <r>
    <n v="21560"/>
    <s v="Married"/>
    <x v="1"/>
    <n v="120000"/>
    <n v="0"/>
    <s v="Partial High School"/>
    <s v="Professional"/>
    <s v="Yes"/>
    <n v="4"/>
    <s v="more than 10 miles"/>
    <s v="Pacific"/>
    <n v="32"/>
    <s v="Middle Age"/>
    <x v="1"/>
  </r>
  <r>
    <n v="21554"/>
    <s v="Single"/>
    <x v="0"/>
    <n v="80000"/>
    <n v="0"/>
    <s v="Bachelors"/>
    <s v="Professional"/>
    <s v="No"/>
    <n v="3"/>
    <s v="more than 10 miles"/>
    <s v="Pacific"/>
    <n v="33"/>
    <s v="Middle Age"/>
    <x v="0"/>
  </r>
  <r>
    <n v="13662"/>
    <s v="Single"/>
    <x v="1"/>
    <n v="20000"/>
    <n v="0"/>
    <s v="Partial High School"/>
    <s v="Manual"/>
    <s v="Yes"/>
    <n v="2"/>
    <s v="1-2 Miles"/>
    <s v="Europe"/>
    <n v="31"/>
    <s v="Middle Age"/>
    <x v="1"/>
  </r>
  <r>
    <n v="13089"/>
    <s v="Married"/>
    <x v="0"/>
    <n v="120000"/>
    <n v="1"/>
    <s v="Bachelors"/>
    <s v="Management"/>
    <s v="Yes"/>
    <n v="2"/>
    <s v="0-1 Miles"/>
    <s v="Pacific"/>
    <n v="46"/>
    <s v="Middle Age"/>
    <x v="1"/>
  </r>
  <r>
    <n v="14791"/>
    <s v="Married"/>
    <x v="0"/>
    <n v="40000"/>
    <n v="0"/>
    <s v="Bachelors"/>
    <s v="Clerical"/>
    <s v="Yes"/>
    <n v="0"/>
    <s v="0-1 Miles"/>
    <s v="Europe"/>
    <n v="39"/>
    <s v="Middle Age"/>
    <x v="1"/>
  </r>
  <r>
    <n v="19331"/>
    <s v="Single"/>
    <x v="1"/>
    <n v="20000"/>
    <n v="2"/>
    <s v="High School"/>
    <s v="Manual"/>
    <s v="Yes"/>
    <n v="1"/>
    <s v="0-1 Miles"/>
    <s v="Europe"/>
    <n v="40"/>
    <s v="Middle Age"/>
    <x v="0"/>
  </r>
  <r>
    <n v="17754"/>
    <s v="Single"/>
    <x v="0"/>
    <n v="30000"/>
    <n v="3"/>
    <s v="Bachelors"/>
    <s v="Clerical"/>
    <s v="Yes"/>
    <n v="0"/>
    <s v="0-1 Miles"/>
    <s v="Europe"/>
    <n v="46"/>
    <s v="Middle Age"/>
    <x v="1"/>
  </r>
  <r>
    <n v="11149"/>
    <s v="Married"/>
    <x v="1"/>
    <n v="40000"/>
    <n v="2"/>
    <s v="Bachelors"/>
    <s v="Management"/>
    <s v="Yes"/>
    <n v="2"/>
    <s v="0-1 Miles"/>
    <s v="Pacific"/>
    <n v="65"/>
    <s v="OLD"/>
    <x v="0"/>
  </r>
  <r>
    <n v="16549"/>
    <s v="Single"/>
    <x v="0"/>
    <n v="30000"/>
    <n v="3"/>
    <s v="Bachelors"/>
    <s v="Clerical"/>
    <s v="Yes"/>
    <n v="0"/>
    <s v="0-1 Miles"/>
    <s v="Europe"/>
    <n v="47"/>
    <s v="Middle Age"/>
    <x v="1"/>
  </r>
  <r>
    <n v="24305"/>
    <s v="Single"/>
    <x v="1"/>
    <n v="100000"/>
    <n v="1"/>
    <s v="Bachelors"/>
    <s v="Management"/>
    <s v="No"/>
    <n v="3"/>
    <s v="0-1 Miles"/>
    <s v="Pacific"/>
    <n v="46"/>
    <s v="Middle Age"/>
    <x v="1"/>
  </r>
  <r>
    <n v="18253"/>
    <s v="Married"/>
    <x v="0"/>
    <n v="80000"/>
    <n v="5"/>
    <s v="Graduate Degree"/>
    <s v="Management"/>
    <s v="Yes"/>
    <n v="3"/>
    <s v="0-1 Miles"/>
    <s v="Pacific"/>
    <n v="40"/>
    <s v="Middle Age"/>
    <x v="0"/>
  </r>
  <r>
    <n v="20147"/>
    <s v="Married"/>
    <x v="0"/>
    <n v="30000"/>
    <n v="1"/>
    <s v="Bachelors"/>
    <s v="Clerical"/>
    <s v="Yes"/>
    <n v="0"/>
    <s v="0-1 Miles"/>
    <s v="Europe"/>
    <n v="65"/>
    <s v="OLD"/>
    <x v="0"/>
  </r>
  <r>
    <n v="15612"/>
    <s v="Single"/>
    <x v="1"/>
    <n v="30000"/>
    <n v="0"/>
    <s v="High School"/>
    <s v="Manual"/>
    <s v="No"/>
    <n v="1"/>
    <s v="1-2 Miles"/>
    <s v="Europe"/>
    <n v="28"/>
    <s v="Adolesent"/>
    <x v="0"/>
  </r>
  <r>
    <n v="28323"/>
    <s v="Single"/>
    <x v="1"/>
    <n v="70000"/>
    <n v="0"/>
    <s v="Bachelors"/>
    <s v="Professional"/>
    <s v="No"/>
    <n v="2"/>
    <s v="5-10 Miles"/>
    <s v="Pacific"/>
    <n v="43"/>
    <s v="Middle Age"/>
    <x v="1"/>
  </r>
  <r>
    <n v="22634"/>
    <s v="Single"/>
    <x v="0"/>
    <n v="40000"/>
    <n v="0"/>
    <s v="Graduate Degree"/>
    <s v="Clerical"/>
    <s v="Yes"/>
    <n v="0"/>
    <s v="0-1 Miles"/>
    <s v="Europe"/>
    <n v="38"/>
    <s v="Middle Age"/>
    <x v="1"/>
  </r>
  <r>
    <n v="15665"/>
    <s v="Married"/>
    <x v="0"/>
    <n v="30000"/>
    <n v="0"/>
    <s v="Bachelors"/>
    <s v="Clerical"/>
    <s v="Yes"/>
    <n v="0"/>
    <s v="0-1 Miles"/>
    <s v="Europe"/>
    <n v="47"/>
    <s v="Middle Age"/>
    <x v="1"/>
  </r>
  <r>
    <n v="27585"/>
    <s v="Married"/>
    <x v="0"/>
    <n v="90000"/>
    <n v="2"/>
    <s v="Bachelors"/>
    <s v="Professional"/>
    <s v="No"/>
    <n v="0"/>
    <s v="0-1 Miles"/>
    <s v="Pacific"/>
    <n v="36"/>
    <s v="Middle Age"/>
    <x v="1"/>
  </r>
  <r>
    <n v="19748"/>
    <s v="Married"/>
    <x v="1"/>
    <n v="20000"/>
    <n v="4"/>
    <s v="High School"/>
    <s v="Skilled Manual"/>
    <s v="No"/>
    <n v="2"/>
    <s v="1-2 Miles"/>
    <s v="Pacific"/>
    <n v="60"/>
    <s v="OLD"/>
    <x v="0"/>
  </r>
  <r>
    <n v="21974"/>
    <s v="Single"/>
    <x v="0"/>
    <n v="70000"/>
    <n v="0"/>
    <s v="Bachelors"/>
    <s v="Professional"/>
    <s v="Yes"/>
    <n v="1"/>
    <s v="5-10 Miles"/>
    <s v="Pacific"/>
    <n v="42"/>
    <s v="Middle Age"/>
    <x v="1"/>
  </r>
  <r>
    <n v="14032"/>
    <s v="Married"/>
    <x v="1"/>
    <n v="70000"/>
    <n v="2"/>
    <s v="High School"/>
    <s v="Skilled Manual"/>
    <s v="No"/>
    <n v="2"/>
    <s v="1-2 Miles"/>
    <s v="Pacific"/>
    <n v="50"/>
    <s v="Middle Age"/>
    <x v="1"/>
  </r>
  <r>
    <n v="22610"/>
    <s v="Married"/>
    <x v="1"/>
    <n v="30000"/>
    <n v="0"/>
    <s v="Bachelors"/>
    <s v="Clerical"/>
    <s v="Yes"/>
    <n v="0"/>
    <s v="0-1 Miles"/>
    <s v="Europe"/>
    <n v="35"/>
    <s v="Middle Age"/>
    <x v="1"/>
  </r>
  <r>
    <n v="26984"/>
    <s v="Married"/>
    <x v="1"/>
    <n v="40000"/>
    <n v="1"/>
    <s v="Bachelors"/>
    <s v="Skilled Manual"/>
    <s v="Yes"/>
    <n v="1"/>
    <s v="0-1 Miles"/>
    <s v="Europe"/>
    <n v="32"/>
    <s v="Middle Age"/>
    <x v="1"/>
  </r>
  <r>
    <n v="18294"/>
    <s v="Married"/>
    <x v="0"/>
    <n v="90000"/>
    <n v="1"/>
    <s v="Bachelors"/>
    <s v="Professional"/>
    <s v="Yes"/>
    <n v="1"/>
    <s v="5-10 Miles"/>
    <s v="Pacific"/>
    <n v="46"/>
    <s v="Middle Age"/>
    <x v="0"/>
  </r>
  <r>
    <n v="28564"/>
    <s v="Single"/>
    <x v="0"/>
    <n v="40000"/>
    <n v="2"/>
    <s v="Partial College"/>
    <s v="Clerical"/>
    <s v="Yes"/>
    <n v="0"/>
    <s v="1-2 Miles"/>
    <s v="Europe"/>
    <n v="33"/>
    <s v="Middle Age"/>
    <x v="1"/>
  </r>
  <r>
    <n v="28521"/>
    <s v="Single"/>
    <x v="1"/>
    <n v="40000"/>
    <n v="0"/>
    <s v="Graduate Degree"/>
    <s v="Clerical"/>
    <s v="No"/>
    <n v="0"/>
    <s v="0-1 Miles"/>
    <s v="Europe"/>
    <n v="36"/>
    <s v="Middle Age"/>
    <x v="1"/>
  </r>
  <r>
    <n v="15450"/>
    <s v="Married"/>
    <x v="1"/>
    <n v="10000"/>
    <n v="1"/>
    <s v="Graduate Degree"/>
    <s v="Clerical"/>
    <s v="Yes"/>
    <n v="0"/>
    <s v="0-1 Miles"/>
    <s v="Europe"/>
    <n v="70"/>
    <s v="OLD"/>
    <x v="0"/>
  </r>
  <r>
    <n v="25681"/>
    <s v="Single"/>
    <x v="0"/>
    <n v="30000"/>
    <n v="0"/>
    <s v="Partial College"/>
    <s v="Clerical"/>
    <s v="No"/>
    <n v="1"/>
    <s v="2-5 Miles"/>
    <s v="Europe"/>
    <n v="31"/>
    <s v="Middle Age"/>
    <x v="1"/>
  </r>
  <r>
    <n v="19491"/>
    <s v="Single"/>
    <x v="1"/>
    <n v="30000"/>
    <n v="2"/>
    <s v="Partial College"/>
    <s v="Clerical"/>
    <s v="Yes"/>
    <n v="2"/>
    <s v="0-1 Miles"/>
    <s v="Europe"/>
    <n v="42"/>
    <s v="Middle Age"/>
    <x v="0"/>
  </r>
  <r>
    <n v="26415"/>
    <s v="Married"/>
    <x v="0"/>
    <n v="90000"/>
    <n v="4"/>
    <s v="Partial High School"/>
    <s v="Skilled Manual"/>
    <s v="Yes"/>
    <n v="4"/>
    <s v="more than 10 miles"/>
    <s v="Europe"/>
    <n v="58"/>
    <s v="OLD"/>
    <x v="0"/>
  </r>
  <r>
    <n v="12821"/>
    <s v="Married"/>
    <x v="1"/>
    <n v="40000"/>
    <n v="0"/>
    <s v="Bachelors"/>
    <s v="Clerical"/>
    <s v="Yes"/>
    <n v="0"/>
    <s v="0-1 Miles"/>
    <s v="Europe"/>
    <n v="39"/>
    <s v="Middle Age"/>
    <x v="0"/>
  </r>
  <r>
    <n v="15629"/>
    <s v="Single"/>
    <x v="0"/>
    <n v="10000"/>
    <n v="0"/>
    <s v="Partial High School"/>
    <s v="Manual"/>
    <s v="Yes"/>
    <n v="2"/>
    <s v="1-2 Miles"/>
    <s v="Europe"/>
    <n v="34"/>
    <s v="Middle Age"/>
    <x v="0"/>
  </r>
  <r>
    <n v="27835"/>
    <s v="Married"/>
    <x v="1"/>
    <n v="20000"/>
    <n v="0"/>
    <s v="Partial High School"/>
    <s v="Manual"/>
    <s v="Yes"/>
    <n v="2"/>
    <s v="0-1 Miles"/>
    <s v="Europe"/>
    <n v="32"/>
    <s v="Middle Age"/>
    <x v="0"/>
  </r>
  <r>
    <n v="11738"/>
    <s v="Married"/>
    <x v="1"/>
    <n v="60000"/>
    <n v="4"/>
    <s v="Bachelors"/>
    <s v="Professional"/>
    <s v="Yes"/>
    <n v="0"/>
    <s v="2-5 Miles"/>
    <s v="North America"/>
    <n v="46"/>
    <s v="Middle Age"/>
    <x v="0"/>
  </r>
  <r>
    <n v="25065"/>
    <s v="Married"/>
    <x v="1"/>
    <n v="70000"/>
    <n v="2"/>
    <s v="Partial High School"/>
    <s v="Skilled Manual"/>
    <s v="Yes"/>
    <n v="2"/>
    <s v="5-10 Miles"/>
    <s v="North America"/>
    <n v="48"/>
    <s v="Middle Age"/>
    <x v="0"/>
  </r>
  <r>
    <n v="26238"/>
    <s v="Single"/>
    <x v="0"/>
    <n v="40000"/>
    <n v="3"/>
    <s v="Partial College"/>
    <s v="Clerical"/>
    <s v="Yes"/>
    <n v="1"/>
    <s v="1-2 Miles"/>
    <s v="North America"/>
    <n v="31"/>
    <s v="Middle Age"/>
    <x v="1"/>
  </r>
  <r>
    <n v="23707"/>
    <s v="Single"/>
    <x v="1"/>
    <n v="70000"/>
    <n v="5"/>
    <s v="Bachelors"/>
    <s v="Management"/>
    <s v="Yes"/>
    <n v="3"/>
    <s v="more than 10 miles"/>
    <s v="North America"/>
    <n v="60"/>
    <s v="OLD"/>
    <x v="1"/>
  </r>
  <r>
    <n v="27650"/>
    <s v="Married"/>
    <x v="1"/>
    <n v="70000"/>
    <n v="4"/>
    <s v="High School"/>
    <s v="Professional"/>
    <s v="Yes"/>
    <n v="0"/>
    <s v="5-10 Miles"/>
    <s v="North America"/>
    <n v="51"/>
    <s v="Middle Age"/>
    <x v="0"/>
  </r>
  <r>
    <n v="24981"/>
    <s v="Married"/>
    <x v="1"/>
    <n v="60000"/>
    <n v="2"/>
    <s v="Partial College"/>
    <s v="Professional"/>
    <s v="Yes"/>
    <n v="2"/>
    <s v="more than 10 miles"/>
    <s v="North America"/>
    <n v="56"/>
    <s v="OLD"/>
    <x v="0"/>
  </r>
  <r>
    <n v="20678"/>
    <s v="Single"/>
    <x v="0"/>
    <n v="60000"/>
    <n v="3"/>
    <s v="Bachelors"/>
    <s v="Skilled Manual"/>
    <s v="Yes"/>
    <n v="1"/>
    <s v="2-5 Miles"/>
    <s v="North America"/>
    <n v="40"/>
    <s v="Middle Age"/>
    <x v="1"/>
  </r>
  <r>
    <n v="15302"/>
    <s v="Single"/>
    <x v="0"/>
    <n v="70000"/>
    <n v="1"/>
    <s v="Graduate Degree"/>
    <s v="Professional"/>
    <s v="Yes"/>
    <n v="0"/>
    <s v="2-5 Miles"/>
    <s v="North America"/>
    <n v="34"/>
    <s v="Middle Age"/>
    <x v="1"/>
  </r>
  <r>
    <n v="26012"/>
    <s v="Married"/>
    <x v="1"/>
    <n v="80000"/>
    <n v="1"/>
    <s v="Partial College"/>
    <s v="Skilled Manual"/>
    <s v="Yes"/>
    <n v="1"/>
    <s v="2-5 Miles"/>
    <s v="North America"/>
    <n v="48"/>
    <s v="Middle Age"/>
    <x v="1"/>
  </r>
  <r>
    <n v="26575"/>
    <s v="Single"/>
    <x v="0"/>
    <n v="40000"/>
    <n v="0"/>
    <s v="High School"/>
    <s v="Skilled Manual"/>
    <s v="No"/>
    <n v="2"/>
    <s v="1-2 Miles"/>
    <s v="North America"/>
    <n v="31"/>
    <s v="Middle Age"/>
    <x v="1"/>
  </r>
  <r>
    <n v="15559"/>
    <s v="Married"/>
    <x v="1"/>
    <n v="60000"/>
    <n v="5"/>
    <s v="Bachelors"/>
    <s v="Professional"/>
    <s v="Yes"/>
    <n v="1"/>
    <s v="2-5 Miles"/>
    <s v="North America"/>
    <n v="47"/>
    <s v="Middle Age"/>
    <x v="0"/>
  </r>
  <r>
    <n v="19235"/>
    <s v="Married"/>
    <x v="0"/>
    <n v="50000"/>
    <n v="0"/>
    <s v="Graduate Degree"/>
    <s v="Skilled Manual"/>
    <s v="Yes"/>
    <n v="0"/>
    <s v="0-1 Miles"/>
    <s v="North America"/>
    <n v="34"/>
    <s v="Middle Age"/>
    <x v="0"/>
  </r>
  <r>
    <n v="15275"/>
    <s v="Married"/>
    <x v="1"/>
    <n v="40000"/>
    <n v="0"/>
    <s v="Partial College"/>
    <s v="Skilled Manual"/>
    <s v="Yes"/>
    <n v="1"/>
    <s v="5-10 Miles"/>
    <s v="North America"/>
    <n v="29"/>
    <s v="Adolesent"/>
    <x v="0"/>
  </r>
  <r>
    <n v="20339"/>
    <s v="Married"/>
    <x v="0"/>
    <n v="130000"/>
    <n v="1"/>
    <s v="Bachelors"/>
    <s v="Management"/>
    <s v="Yes"/>
    <n v="4"/>
    <s v="2-5 Miles"/>
    <s v="North America"/>
    <n v="44"/>
    <s v="Middle Age"/>
    <x v="1"/>
  </r>
  <r>
    <n v="25405"/>
    <s v="Married"/>
    <x v="1"/>
    <n v="70000"/>
    <n v="2"/>
    <s v="Bachelors"/>
    <s v="Skilled Manual"/>
    <s v="Yes"/>
    <n v="1"/>
    <s v="2-5 Miles"/>
    <s v="North America"/>
    <n v="38"/>
    <s v="Middle Age"/>
    <x v="1"/>
  </r>
  <r>
    <n v="15940"/>
    <s v="Married"/>
    <x v="1"/>
    <n v="100000"/>
    <n v="4"/>
    <s v="Partial College"/>
    <s v="Professional"/>
    <s v="Yes"/>
    <n v="4"/>
    <s v="0-1 Miles"/>
    <s v="North America"/>
    <n v="40"/>
    <s v="Middle Age"/>
    <x v="0"/>
  </r>
  <r>
    <n v="25074"/>
    <s v="Married"/>
    <x v="0"/>
    <n v="70000"/>
    <n v="4"/>
    <s v="Bachelors"/>
    <s v="Professional"/>
    <s v="Yes"/>
    <n v="2"/>
    <s v="2-5 Miles"/>
    <s v="North America"/>
    <n v="42"/>
    <s v="Middle Age"/>
    <x v="1"/>
  </r>
  <r>
    <n v="24738"/>
    <s v="Married"/>
    <x v="0"/>
    <n v="40000"/>
    <n v="1"/>
    <s v="Partial College"/>
    <s v="Clerical"/>
    <s v="Yes"/>
    <n v="1"/>
    <s v="1-2 Miles"/>
    <s v="North America"/>
    <n v="51"/>
    <s v="Middle Age"/>
    <x v="1"/>
  </r>
  <r>
    <n v="16337"/>
    <s v="Married"/>
    <x v="1"/>
    <n v="60000"/>
    <n v="0"/>
    <s v="Partial College"/>
    <s v="Skilled Manual"/>
    <s v="No"/>
    <n v="2"/>
    <s v="1-2 Miles"/>
    <s v="North America"/>
    <n v="29"/>
    <s v="Adolesent"/>
    <x v="0"/>
  </r>
  <r>
    <n v="24357"/>
    <s v="Married"/>
    <x v="1"/>
    <n v="80000"/>
    <n v="3"/>
    <s v="Bachelors"/>
    <s v="Professional"/>
    <s v="Yes"/>
    <n v="1"/>
    <s v="2-5 Miles"/>
    <s v="North America"/>
    <n v="48"/>
    <s v="Middle Age"/>
    <x v="1"/>
  </r>
  <r>
    <n v="18613"/>
    <s v="Single"/>
    <x v="1"/>
    <n v="70000"/>
    <n v="0"/>
    <s v="Bachelors"/>
    <s v="Professional"/>
    <s v="No"/>
    <n v="1"/>
    <s v="2-5 Miles"/>
    <s v="North America"/>
    <n v="37"/>
    <s v="Middle Age"/>
    <x v="1"/>
  </r>
  <r>
    <n v="12207"/>
    <s v="Single"/>
    <x v="1"/>
    <n v="80000"/>
    <n v="4"/>
    <s v="Bachelors"/>
    <s v="Management"/>
    <s v="Yes"/>
    <n v="0"/>
    <s v="5-10 Miles"/>
    <s v="North America"/>
    <n v="66"/>
    <s v="OLD"/>
    <x v="1"/>
  </r>
  <r>
    <n v="18052"/>
    <s v="Married"/>
    <x v="0"/>
    <n v="60000"/>
    <n v="1"/>
    <s v="Partial College"/>
    <s v="Skilled Manual"/>
    <s v="Yes"/>
    <n v="1"/>
    <s v="0-1 Miles"/>
    <s v="North America"/>
    <n v="45"/>
    <s v="Middle Age"/>
    <x v="1"/>
  </r>
  <r>
    <n v="13353"/>
    <s v="Single"/>
    <x v="0"/>
    <n v="60000"/>
    <n v="4"/>
    <s v="Graduate Degree"/>
    <s v="Management"/>
    <s v="Yes"/>
    <n v="2"/>
    <s v="more than 10 miles"/>
    <s v="North America"/>
    <n v="61"/>
    <s v="OLD"/>
    <x v="1"/>
  </r>
  <r>
    <n v="19399"/>
    <s v="Single"/>
    <x v="1"/>
    <n v="40000"/>
    <n v="0"/>
    <s v="Bachelors"/>
    <s v="Professional"/>
    <s v="No"/>
    <n v="1"/>
    <s v="2-5 Miles"/>
    <s v="North America"/>
    <n v="45"/>
    <s v="Middle Age"/>
    <x v="0"/>
  </r>
  <r>
    <n v="16154"/>
    <s v="Married"/>
    <x v="0"/>
    <n v="70000"/>
    <n v="5"/>
    <s v="Bachelors"/>
    <s v="Professional"/>
    <s v="Yes"/>
    <n v="2"/>
    <s v="2-5 Miles"/>
    <s v="North America"/>
    <n v="47"/>
    <s v="Middle Age"/>
    <x v="0"/>
  </r>
  <r>
    <n v="22219"/>
    <s v="Married"/>
    <x v="0"/>
    <n v="60000"/>
    <n v="2"/>
    <s v="High School"/>
    <s v="Professional"/>
    <s v="Yes"/>
    <n v="2"/>
    <s v="5-10 Miles"/>
    <s v="North America"/>
    <n v="49"/>
    <s v="Middle Age"/>
    <x v="0"/>
  </r>
  <r>
    <n v="17269"/>
    <s v="Single"/>
    <x v="1"/>
    <n v="60000"/>
    <n v="3"/>
    <s v="Bachelors"/>
    <s v="Professional"/>
    <s v="No"/>
    <n v="0"/>
    <s v="0-1 Miles"/>
    <s v="North America"/>
    <n v="47"/>
    <s v="Middle Age"/>
    <x v="1"/>
  </r>
  <r>
    <n v="23586"/>
    <s v="Married"/>
    <x v="0"/>
    <n v="80000"/>
    <n v="0"/>
    <s v="Bachelors"/>
    <s v="Management"/>
    <s v="Yes"/>
    <n v="1"/>
    <s v="1-2 Miles"/>
    <s v="North America"/>
    <n v="34"/>
    <s v="Middle Age"/>
    <x v="1"/>
  </r>
  <r>
    <n v="15740"/>
    <s v="Married"/>
    <x v="1"/>
    <n v="80000"/>
    <n v="5"/>
    <s v="Bachelors"/>
    <s v="Management"/>
    <s v="Yes"/>
    <n v="2"/>
    <s v="1-2 Miles"/>
    <s v="North America"/>
    <n v="64"/>
    <s v="OLD"/>
    <x v="0"/>
  </r>
  <r>
    <n v="27638"/>
    <s v="Single"/>
    <x v="1"/>
    <n v="100000"/>
    <n v="1"/>
    <s v="Partial College"/>
    <s v="Professional"/>
    <s v="No"/>
    <n v="3"/>
    <s v="1-2 Miles"/>
    <s v="North America"/>
    <n v="44"/>
    <s v="Middle Age"/>
    <x v="0"/>
  </r>
  <r>
    <n v="18976"/>
    <s v="Single"/>
    <x v="1"/>
    <n v="40000"/>
    <n v="4"/>
    <s v="High School"/>
    <s v="Professional"/>
    <s v="Yes"/>
    <n v="2"/>
    <s v="more than 10 miles"/>
    <s v="North America"/>
    <n v="62"/>
    <s v="OLD"/>
    <x v="1"/>
  </r>
  <r>
    <n v="19413"/>
    <s v="Single"/>
    <x v="1"/>
    <n v="60000"/>
    <n v="3"/>
    <s v="Bachelors"/>
    <s v="Professional"/>
    <s v="No"/>
    <n v="1"/>
    <s v="0-1 Miles"/>
    <s v="North America"/>
    <n v="47"/>
    <s v="Middle Age"/>
    <x v="1"/>
  </r>
  <r>
    <n v="13283"/>
    <s v="Married"/>
    <x v="1"/>
    <n v="80000"/>
    <n v="3"/>
    <s v="Partial College"/>
    <s v="Professional"/>
    <s v="No"/>
    <n v="2"/>
    <s v="0-1 Miles"/>
    <s v="North America"/>
    <n v="49"/>
    <s v="Middle Age"/>
    <x v="1"/>
  </r>
  <r>
    <n v="17471"/>
    <s v="Single"/>
    <x v="0"/>
    <n v="80000"/>
    <n v="4"/>
    <s v="Graduate Degree"/>
    <s v="Management"/>
    <s v="Yes"/>
    <n v="2"/>
    <s v="5-10 Miles"/>
    <s v="North America"/>
    <n v="67"/>
    <s v="OLD"/>
    <x v="0"/>
  </r>
  <r>
    <n v="16791"/>
    <s v="Single"/>
    <x v="1"/>
    <n v="60000"/>
    <n v="5"/>
    <s v="Bachelors"/>
    <s v="Management"/>
    <s v="Yes"/>
    <n v="3"/>
    <s v="more than 10 miles"/>
    <s v="North America"/>
    <n v="59"/>
    <s v="OLD"/>
    <x v="1"/>
  </r>
  <r>
    <n v="15382"/>
    <s v="Married"/>
    <x v="0"/>
    <n v="110000"/>
    <n v="1"/>
    <s v="Bachelors"/>
    <s v="Management"/>
    <s v="Yes"/>
    <n v="2"/>
    <s v="1-2 Miles"/>
    <s v="North America"/>
    <n v="44"/>
    <s v="Middle Age"/>
    <x v="0"/>
  </r>
  <r>
    <n v="11641"/>
    <s v="Married"/>
    <x v="1"/>
    <n v="50000"/>
    <n v="1"/>
    <s v="Bachelors"/>
    <s v="Skilled Manual"/>
    <s v="Yes"/>
    <n v="0"/>
    <s v="0-1 Miles"/>
    <s v="North America"/>
    <n v="36"/>
    <s v="Middle Age"/>
    <x v="0"/>
  </r>
  <r>
    <n v="11935"/>
    <s v="Single"/>
    <x v="0"/>
    <n v="30000"/>
    <n v="0"/>
    <s v="Partial College"/>
    <s v="Skilled Manual"/>
    <s v="Yes"/>
    <n v="1"/>
    <s v="5-10 Miles"/>
    <s v="North America"/>
    <n v="28"/>
    <s v="Adolesent"/>
    <x v="0"/>
  </r>
  <r>
    <n v="13233"/>
    <s v="Married"/>
    <x v="1"/>
    <n v="60000"/>
    <n v="2"/>
    <s v="Partial College"/>
    <s v="Professional"/>
    <s v="Yes"/>
    <n v="1"/>
    <s v="more than 10 miles"/>
    <s v="North America"/>
    <n v="57"/>
    <s v="OLD"/>
    <x v="1"/>
  </r>
  <r>
    <n v="25909"/>
    <s v="Married"/>
    <x v="1"/>
    <n v="60000"/>
    <n v="0"/>
    <s v="Partial College"/>
    <s v="Skilled Manual"/>
    <s v="Yes"/>
    <n v="1"/>
    <s v="5-10 Miles"/>
    <s v="North America"/>
    <n v="27"/>
    <s v="Adolesent"/>
    <x v="1"/>
  </r>
  <r>
    <n v="14092"/>
    <s v="Single"/>
    <x v="1"/>
    <n v="30000"/>
    <n v="0"/>
    <s v="Partial High School"/>
    <s v="Clerical"/>
    <s v="Yes"/>
    <n v="2"/>
    <s v="5-10 Miles"/>
    <s v="North America"/>
    <n v="28"/>
    <s v="Adolesent"/>
    <x v="0"/>
  </r>
  <r>
    <n v="29143"/>
    <s v="Single"/>
    <x v="0"/>
    <n v="60000"/>
    <n v="1"/>
    <s v="Bachelors"/>
    <s v="Professional"/>
    <s v="No"/>
    <n v="1"/>
    <s v="0-1 Miles"/>
    <s v="North America"/>
    <n v="44"/>
    <s v="Middle Age"/>
    <x v="1"/>
  </r>
  <r>
    <n v="24941"/>
    <s v="Married"/>
    <x v="1"/>
    <n v="60000"/>
    <n v="3"/>
    <s v="Bachelors"/>
    <s v="Management"/>
    <s v="Yes"/>
    <n v="2"/>
    <s v="more than 10 miles"/>
    <s v="North America"/>
    <n v="66"/>
    <s v="OLD"/>
    <x v="0"/>
  </r>
  <r>
    <n v="24637"/>
    <s v="Married"/>
    <x v="1"/>
    <n v="40000"/>
    <n v="4"/>
    <s v="High School"/>
    <s v="Professional"/>
    <s v="Yes"/>
    <n v="2"/>
    <s v="more than 10 miles"/>
    <s v="North America"/>
    <n v="64"/>
    <s v="OLD"/>
    <x v="0"/>
  </r>
  <r>
    <n v="23893"/>
    <s v="Married"/>
    <x v="1"/>
    <n v="50000"/>
    <n v="3"/>
    <s v="Bachelors"/>
    <s v="Skilled Manual"/>
    <s v="Yes"/>
    <n v="3"/>
    <s v="more than 10 miles"/>
    <s v="North America"/>
    <n v="41"/>
    <s v="Middle Age"/>
    <x v="0"/>
  </r>
  <r>
    <n v="13907"/>
    <s v="Single"/>
    <x v="0"/>
    <n v="80000"/>
    <n v="3"/>
    <s v="Bachelors"/>
    <s v="Skilled Manual"/>
    <s v="Yes"/>
    <n v="1"/>
    <s v="0-1 Miles"/>
    <s v="North America"/>
    <n v="41"/>
    <s v="Middle Age"/>
    <x v="1"/>
  </r>
  <r>
    <n v="14900"/>
    <s v="Married"/>
    <x v="0"/>
    <n v="40000"/>
    <n v="1"/>
    <s v="Partial College"/>
    <s v="Clerical"/>
    <s v="Yes"/>
    <n v="1"/>
    <s v="1-2 Miles"/>
    <s v="North America"/>
    <n v="49"/>
    <s v="Middle Age"/>
    <x v="1"/>
  </r>
  <r>
    <n v="11262"/>
    <s v="Married"/>
    <x v="0"/>
    <n v="80000"/>
    <n v="4"/>
    <s v="Bachelors"/>
    <s v="Management"/>
    <s v="Yes"/>
    <n v="0"/>
    <s v="0-1 Miles"/>
    <s v="North America"/>
    <n v="42"/>
    <s v="Middle Age"/>
    <x v="0"/>
  </r>
  <r>
    <n v="22294"/>
    <s v="Single"/>
    <x v="0"/>
    <n v="70000"/>
    <n v="0"/>
    <s v="Bachelors"/>
    <s v="Professional"/>
    <s v="No"/>
    <n v="1"/>
    <s v="2-5 Miles"/>
    <s v="North America"/>
    <n v="37"/>
    <s v="Middle Age"/>
    <x v="1"/>
  </r>
  <r>
    <n v="12195"/>
    <s v="Single"/>
    <x v="0"/>
    <n v="70000"/>
    <n v="3"/>
    <s v="Graduate Degree"/>
    <s v="Management"/>
    <s v="Yes"/>
    <n v="2"/>
    <s v="1-2 Miles"/>
    <s v="North America"/>
    <n v="52"/>
    <s v="Middle Age"/>
    <x v="0"/>
  </r>
  <r>
    <n v="25375"/>
    <s v="Married"/>
    <x v="1"/>
    <n v="50000"/>
    <n v="1"/>
    <s v="Graduate Degree"/>
    <s v="Skilled Manual"/>
    <s v="Yes"/>
    <n v="0"/>
    <s v="1-2 Miles"/>
    <s v="North America"/>
    <n v="34"/>
    <s v="Middle Age"/>
    <x v="0"/>
  </r>
  <r>
    <n v="11143"/>
    <s v="Married"/>
    <x v="1"/>
    <n v="40000"/>
    <n v="0"/>
    <s v="High School"/>
    <s v="Skilled Manual"/>
    <s v="Yes"/>
    <n v="2"/>
    <s v="5-10 Miles"/>
    <s v="North America"/>
    <n v="29"/>
    <s v="Adolesent"/>
    <x v="0"/>
  </r>
  <r>
    <n v="25898"/>
    <s v="Married"/>
    <x v="0"/>
    <n v="70000"/>
    <n v="2"/>
    <s v="High School"/>
    <s v="Professional"/>
    <s v="Yes"/>
    <n v="2"/>
    <s v="2-5 Miles"/>
    <s v="North America"/>
    <n v="53"/>
    <s v="Middle Age"/>
    <x v="0"/>
  </r>
  <r>
    <n v="24397"/>
    <s v="Single"/>
    <x v="1"/>
    <n v="120000"/>
    <n v="2"/>
    <s v="Bachelors"/>
    <s v="Management"/>
    <s v="No"/>
    <n v="4"/>
    <s v="1-2 Miles"/>
    <s v="North America"/>
    <n v="40"/>
    <s v="Middle Age"/>
    <x v="0"/>
  </r>
  <r>
    <n v="19758"/>
    <s v="Single"/>
    <x v="1"/>
    <n v="60000"/>
    <n v="0"/>
    <s v="Partial College"/>
    <s v="Skilled Manual"/>
    <s v="No"/>
    <n v="2"/>
    <s v="1-2 Miles"/>
    <s v="North America"/>
    <n v="29"/>
    <s v="Adolesent"/>
    <x v="0"/>
  </r>
  <r>
    <n v="15529"/>
    <s v="Married"/>
    <x v="1"/>
    <n v="60000"/>
    <n v="4"/>
    <s v="Bachelors"/>
    <s v="Professional"/>
    <s v="Yes"/>
    <n v="2"/>
    <s v="2-5 Miles"/>
    <s v="North America"/>
    <n v="43"/>
    <s v="Middle Age"/>
    <x v="1"/>
  </r>
  <r>
    <n v="19884"/>
    <s v="Married"/>
    <x v="1"/>
    <n v="60000"/>
    <n v="2"/>
    <s v="High School"/>
    <s v="Professional"/>
    <s v="Yes"/>
    <n v="2"/>
    <s v="2-5 Miles"/>
    <s v="North America"/>
    <n v="55"/>
    <s v="Middle Age"/>
    <x v="1"/>
  </r>
  <r>
    <n v="18674"/>
    <s v="Single"/>
    <x v="0"/>
    <n v="80000"/>
    <n v="4"/>
    <s v="Graduate Degree"/>
    <s v="Skilled Manual"/>
    <s v="No"/>
    <n v="0"/>
    <s v="0-1 Miles"/>
    <s v="North America"/>
    <n v="48"/>
    <s v="Middle Age"/>
    <x v="0"/>
  </r>
  <r>
    <n v="13453"/>
    <s v="Married"/>
    <x v="0"/>
    <n v="130000"/>
    <n v="3"/>
    <s v="Bachelors"/>
    <s v="Management"/>
    <s v="Yes"/>
    <n v="3"/>
    <s v="0-1 Miles"/>
    <s v="North America"/>
    <n v="45"/>
    <s v="Middle Age"/>
    <x v="1"/>
  </r>
  <r>
    <n v="14063"/>
    <s v="Single"/>
    <x v="0"/>
    <n v="70000"/>
    <n v="0"/>
    <s v="Bachelors"/>
    <s v="Professional"/>
    <s v="No"/>
    <n v="1"/>
    <s v="0-1 Miles"/>
    <s v="Pacific"/>
    <n v="42"/>
    <s v="Middle Age"/>
    <x v="1"/>
  </r>
  <r>
    <n v="27393"/>
    <s v="Married"/>
    <x v="0"/>
    <n v="50000"/>
    <n v="4"/>
    <s v="Bachelors"/>
    <s v="Management"/>
    <s v="Yes"/>
    <n v="2"/>
    <s v="more than 10 miles"/>
    <s v="North America"/>
    <n v="63"/>
    <s v="OLD"/>
    <x v="0"/>
  </r>
  <r>
    <n v="14417"/>
    <s v="Single"/>
    <x v="1"/>
    <n v="60000"/>
    <n v="3"/>
    <s v="High School"/>
    <s v="Professional"/>
    <s v="Yes"/>
    <n v="2"/>
    <s v="more than 10 miles"/>
    <s v="North America"/>
    <n v="54"/>
    <s v="Middle Age"/>
    <x v="1"/>
  </r>
  <r>
    <n v="17533"/>
    <s v="Married"/>
    <x v="1"/>
    <n v="40000"/>
    <n v="3"/>
    <s v="Partial College"/>
    <s v="Professional"/>
    <s v="No"/>
    <n v="2"/>
    <s v="5-10 Miles"/>
    <s v="North America"/>
    <n v="73"/>
    <s v="OLD"/>
    <x v="1"/>
  </r>
  <r>
    <n v="18580"/>
    <s v="Married"/>
    <x v="0"/>
    <n v="60000"/>
    <n v="2"/>
    <s v="Graduate Degree"/>
    <s v="Professional"/>
    <s v="Yes"/>
    <n v="0"/>
    <s v="2-5 Miles"/>
    <s v="North America"/>
    <n v="40"/>
    <s v="Middle Age"/>
    <x v="1"/>
  </r>
  <r>
    <n v="17025"/>
    <s v="Single"/>
    <x v="1"/>
    <n v="50000"/>
    <n v="0"/>
    <s v="Partial College"/>
    <s v="Skilled Manual"/>
    <s v="No"/>
    <n v="1"/>
    <s v="2-5 Miles"/>
    <s v="North America"/>
    <n v="39"/>
    <s v="Middle Age"/>
    <x v="1"/>
  </r>
  <r>
    <n v="25293"/>
    <s v="Married"/>
    <x v="1"/>
    <n v="80000"/>
    <n v="4"/>
    <s v="Bachelors"/>
    <s v="Management"/>
    <s v="Yes"/>
    <n v="0"/>
    <s v="1-2 Miles"/>
    <s v="North America"/>
    <n v="42"/>
    <s v="Middle Age"/>
    <x v="0"/>
  </r>
  <r>
    <n v="24725"/>
    <s v="Married"/>
    <x v="0"/>
    <n v="40000"/>
    <n v="3"/>
    <s v="Partial College"/>
    <s v="Clerical"/>
    <s v="Yes"/>
    <n v="0"/>
    <s v="1-2 Miles"/>
    <s v="North America"/>
    <n v="31"/>
    <s v="Middle Age"/>
    <x v="0"/>
  </r>
  <r>
    <n v="23200"/>
    <s v="Married"/>
    <x v="0"/>
    <n v="50000"/>
    <n v="3"/>
    <s v="Bachelors"/>
    <s v="Skilled Manual"/>
    <s v="Yes"/>
    <n v="2"/>
    <s v="0-1 Miles"/>
    <s v="North America"/>
    <n v="41"/>
    <s v="Middle Age"/>
    <x v="0"/>
  </r>
  <r>
    <n v="15895"/>
    <s v="Single"/>
    <x v="0"/>
    <n v="60000"/>
    <n v="2"/>
    <s v="Bachelors"/>
    <s v="Management"/>
    <s v="Yes"/>
    <n v="0"/>
    <s v="more than 10 miles"/>
    <s v="North America"/>
    <n v="58"/>
    <s v="OLD"/>
    <x v="0"/>
  </r>
  <r>
    <n v="18577"/>
    <s v="Married"/>
    <x v="0"/>
    <n v="60000"/>
    <n v="0"/>
    <s v="Graduate Degree"/>
    <s v="Professional"/>
    <s v="Yes"/>
    <n v="0"/>
    <s v="0-1 Miles"/>
    <s v="North America"/>
    <n v="40"/>
    <s v="Middle Age"/>
    <x v="0"/>
  </r>
  <r>
    <n v="27218"/>
    <s v="Married"/>
    <x v="0"/>
    <n v="20000"/>
    <n v="2"/>
    <s v="Partial High School"/>
    <s v="Clerical"/>
    <s v="No"/>
    <n v="0"/>
    <s v="0-1 Miles"/>
    <s v="North America"/>
    <n v="48"/>
    <s v="Middle Age"/>
    <x v="0"/>
  </r>
  <r>
    <n v="18560"/>
    <s v="Married"/>
    <x v="0"/>
    <n v="70000"/>
    <n v="2"/>
    <s v="Graduate Degree"/>
    <s v="Professional"/>
    <s v="Yes"/>
    <n v="0"/>
    <s v="2-5 Miles"/>
    <s v="North America"/>
    <n v="34"/>
    <s v="Middle Age"/>
    <x v="1"/>
  </r>
  <r>
    <n v="25006"/>
    <s v="Single"/>
    <x v="0"/>
    <n v="30000"/>
    <n v="0"/>
    <s v="Partial College"/>
    <s v="Skilled Manual"/>
    <s v="Yes"/>
    <n v="1"/>
    <s v="5-10 Miles"/>
    <s v="North America"/>
    <n v="28"/>
    <s v="Adolesent"/>
    <x v="0"/>
  </r>
  <r>
    <n v="17369"/>
    <s v="Single"/>
    <x v="1"/>
    <n v="30000"/>
    <n v="0"/>
    <s v="Partial College"/>
    <s v="Skilled Manual"/>
    <s v="Yes"/>
    <n v="1"/>
    <s v="5-10 Miles"/>
    <s v="North America"/>
    <n v="27"/>
    <s v="Adolesent"/>
    <x v="0"/>
  </r>
  <r>
    <n v="14495"/>
    <s v="Married"/>
    <x v="1"/>
    <n v="40000"/>
    <n v="3"/>
    <s v="Partial College"/>
    <s v="Professional"/>
    <s v="No"/>
    <n v="2"/>
    <s v="5-10 Miles"/>
    <s v="North America"/>
    <n v="54"/>
    <s v="Middle Age"/>
    <x v="1"/>
  </r>
  <r>
    <n v="18847"/>
    <s v="Married"/>
    <x v="0"/>
    <n v="60000"/>
    <n v="2"/>
    <s v="Graduate Degree"/>
    <s v="Management"/>
    <s v="Yes"/>
    <n v="2"/>
    <s v="5-10 Miles"/>
    <s v="North America"/>
    <n v="70"/>
    <s v="OLD"/>
    <x v="0"/>
  </r>
  <r>
    <n v="14754"/>
    <s v="Married"/>
    <x v="1"/>
    <n v="40000"/>
    <n v="1"/>
    <s v="Partial College"/>
    <s v="Clerical"/>
    <s v="Yes"/>
    <n v="1"/>
    <s v="1-2 Miles"/>
    <s v="North America"/>
    <n v="48"/>
    <s v="Middle Age"/>
    <x v="1"/>
  </r>
  <r>
    <n v="23378"/>
    <s v="Married"/>
    <x v="1"/>
    <n v="70000"/>
    <n v="1"/>
    <s v="Partial College"/>
    <s v="Skilled Manual"/>
    <s v="Yes"/>
    <n v="1"/>
    <s v="2-5 Miles"/>
    <s v="North America"/>
    <n v="44"/>
    <s v="Middle Age"/>
    <x v="1"/>
  </r>
  <r>
    <n v="26452"/>
    <s v="Single"/>
    <x v="1"/>
    <n v="50000"/>
    <n v="3"/>
    <s v="Graduate Degree"/>
    <s v="Management"/>
    <s v="Yes"/>
    <n v="2"/>
    <s v="more than 10 miles"/>
    <s v="North America"/>
    <n v="69"/>
    <s v="OLD"/>
    <x v="0"/>
  </r>
  <r>
    <n v="20370"/>
    <s v="Married"/>
    <x v="1"/>
    <n v="70000"/>
    <n v="3"/>
    <s v="Partial High School"/>
    <s v="Skilled Manual"/>
    <s v="Yes"/>
    <n v="2"/>
    <s v="5-10 Miles"/>
    <s v="North America"/>
    <n v="52"/>
    <s v="Middle Age"/>
    <x v="0"/>
  </r>
  <r>
    <n v="20528"/>
    <s v="Married"/>
    <x v="1"/>
    <n v="40000"/>
    <n v="2"/>
    <s v="Partial High School"/>
    <s v="Skilled Manual"/>
    <s v="Yes"/>
    <n v="2"/>
    <s v="2-5 Miles"/>
    <s v="North America"/>
    <n v="55"/>
    <s v="Middle Age"/>
    <x v="0"/>
  </r>
  <r>
    <n v="23549"/>
    <s v="Single"/>
    <x v="1"/>
    <n v="30000"/>
    <n v="0"/>
    <s v="High School"/>
    <s v="Skilled Manual"/>
    <s v="Yes"/>
    <n v="2"/>
    <s v="5-10 Miles"/>
    <s v="North America"/>
    <n v="30"/>
    <s v="Adolesent"/>
    <x v="0"/>
  </r>
  <r>
    <n v="21751"/>
    <s v="Married"/>
    <x v="1"/>
    <n v="60000"/>
    <n v="3"/>
    <s v="Graduate Degree"/>
    <s v="Management"/>
    <s v="Yes"/>
    <n v="2"/>
    <s v="1-2 Miles"/>
    <s v="North America"/>
    <n v="63"/>
    <s v="OLD"/>
    <x v="0"/>
  </r>
  <r>
    <n v="21266"/>
    <s v="Single"/>
    <x v="0"/>
    <n v="80000"/>
    <n v="0"/>
    <s v="Bachelors"/>
    <s v="Management"/>
    <s v="Yes"/>
    <n v="1"/>
    <s v="1-2 Miles"/>
    <s v="North America"/>
    <n v="34"/>
    <s v="Middle Age"/>
    <x v="1"/>
  </r>
  <r>
    <n v="13388"/>
    <s v="Single"/>
    <x v="1"/>
    <n v="60000"/>
    <n v="2"/>
    <s v="Partial College"/>
    <s v="Professional"/>
    <s v="Yes"/>
    <n v="1"/>
    <s v="more than 10 miles"/>
    <s v="North America"/>
    <n v="56"/>
    <s v="OLD"/>
    <x v="0"/>
  </r>
  <r>
    <n v="18752"/>
    <s v="Single"/>
    <x v="0"/>
    <n v="40000"/>
    <n v="0"/>
    <s v="High School"/>
    <s v="Skilled Manual"/>
    <s v="Yes"/>
    <n v="1"/>
    <s v="5-10 Miles"/>
    <s v="North America"/>
    <n v="31"/>
    <s v="Middle Age"/>
    <x v="0"/>
  </r>
  <r>
    <n v="16917"/>
    <s v="Married"/>
    <x v="1"/>
    <n v="120000"/>
    <n v="1"/>
    <s v="Bachelors"/>
    <s v="Management"/>
    <s v="Yes"/>
    <n v="4"/>
    <s v="0-1 Miles"/>
    <s v="North America"/>
    <n v="38"/>
    <s v="Middle Age"/>
    <x v="0"/>
  </r>
  <r>
    <n v="15313"/>
    <s v="Married"/>
    <x v="1"/>
    <n v="60000"/>
    <n v="4"/>
    <s v="Bachelors"/>
    <s v="Management"/>
    <s v="Yes"/>
    <n v="2"/>
    <s v="2-5 Miles"/>
    <s v="North America"/>
    <n v="59"/>
    <s v="OLD"/>
    <x v="0"/>
  </r>
  <r>
    <n v="25329"/>
    <s v="Single"/>
    <x v="0"/>
    <n v="40000"/>
    <n v="3"/>
    <s v="Partial College"/>
    <s v="Clerical"/>
    <s v="No"/>
    <n v="2"/>
    <s v="0-1 Miles"/>
    <s v="North America"/>
    <n v="32"/>
    <s v="Middle Age"/>
    <x v="0"/>
  </r>
  <r>
    <n v="20380"/>
    <s v="Married"/>
    <x v="0"/>
    <n v="60000"/>
    <n v="3"/>
    <s v="Graduate Degree"/>
    <s v="Management"/>
    <s v="Yes"/>
    <n v="2"/>
    <s v="more than 10 miles"/>
    <s v="North America"/>
    <n v="69"/>
    <s v="OLD"/>
    <x v="0"/>
  </r>
  <r>
    <n v="23089"/>
    <s v="Married"/>
    <x v="1"/>
    <n v="40000"/>
    <n v="0"/>
    <s v="Partial College"/>
    <s v="Skilled Manual"/>
    <s v="Yes"/>
    <n v="1"/>
    <s v="5-10 Miles"/>
    <s v="North America"/>
    <n v="28"/>
    <s v="Adolesent"/>
    <x v="0"/>
  </r>
  <r>
    <n v="13749"/>
    <s v="Married"/>
    <x v="1"/>
    <n v="80000"/>
    <n v="4"/>
    <s v="Graduate Degree"/>
    <s v="Skilled Manual"/>
    <s v="Yes"/>
    <n v="0"/>
    <s v="1-2 Miles"/>
    <s v="North America"/>
    <n v="47"/>
    <s v="Middle Age"/>
    <x v="0"/>
  </r>
  <r>
    <n v="24943"/>
    <s v="Married"/>
    <x v="1"/>
    <n v="60000"/>
    <n v="3"/>
    <s v="Bachelors"/>
    <s v="Management"/>
    <s v="Yes"/>
    <n v="2"/>
    <s v="more than 10 miles"/>
    <s v="North America"/>
    <n v="66"/>
    <s v="OLD"/>
    <x v="0"/>
  </r>
  <r>
    <n v="28667"/>
    <s v="Single"/>
    <x v="1"/>
    <n v="70000"/>
    <n v="2"/>
    <s v="Bachelors"/>
    <s v="Skilled Manual"/>
    <s v="No"/>
    <n v="1"/>
    <s v="0-1 Miles"/>
    <s v="North America"/>
    <n v="37"/>
    <s v="Middle Age"/>
    <x v="1"/>
  </r>
  <r>
    <n v="15194"/>
    <s v="Single"/>
    <x v="1"/>
    <n v="120000"/>
    <n v="2"/>
    <s v="Bachelors"/>
    <s v="Management"/>
    <s v="No"/>
    <n v="3"/>
    <s v="0-1 Miles"/>
    <s v="North America"/>
    <n v="39"/>
    <s v="Middle Age"/>
    <x v="1"/>
  </r>
  <r>
    <n v="17436"/>
    <s v="Married"/>
    <x v="1"/>
    <n v="60000"/>
    <n v="2"/>
    <s v="High School"/>
    <s v="Professional"/>
    <s v="No"/>
    <n v="2"/>
    <s v="1-2 Miles"/>
    <s v="North America"/>
    <n v="51"/>
    <s v="Middle Age"/>
    <x v="0"/>
  </r>
  <r>
    <n v="18935"/>
    <s v="Married"/>
    <x v="0"/>
    <n v="130000"/>
    <n v="0"/>
    <s v="Graduate Degree"/>
    <s v="Management"/>
    <s v="Yes"/>
    <n v="3"/>
    <s v="1-2 Miles"/>
    <s v="North America"/>
    <n v="40"/>
    <s v="Middle Age"/>
    <x v="0"/>
  </r>
  <r>
    <n v="16871"/>
    <s v="Married"/>
    <x v="0"/>
    <n v="90000"/>
    <n v="2"/>
    <s v="High School"/>
    <s v="Professional"/>
    <s v="Yes"/>
    <n v="1"/>
    <s v="more than 10 miles"/>
    <s v="North America"/>
    <n v="51"/>
    <s v="Middle Age"/>
    <x v="1"/>
  </r>
  <r>
    <n v="12100"/>
    <s v="Single"/>
    <x v="1"/>
    <n v="60000"/>
    <n v="2"/>
    <s v="Bachelors"/>
    <s v="Management"/>
    <s v="Yes"/>
    <n v="0"/>
    <s v="more than 10 miles"/>
    <s v="North America"/>
    <n v="57"/>
    <s v="OLD"/>
    <x v="0"/>
  </r>
  <r>
    <n v="23158"/>
    <s v="Married"/>
    <x v="0"/>
    <n v="60000"/>
    <n v="1"/>
    <s v="Graduate Degree"/>
    <s v="Professional"/>
    <s v="No"/>
    <n v="0"/>
    <s v="0-1 Miles"/>
    <s v="North America"/>
    <n v="35"/>
    <s v="Middle Age"/>
    <x v="1"/>
  </r>
  <r>
    <n v="18545"/>
    <s v="Married"/>
    <x v="1"/>
    <n v="40000"/>
    <n v="4"/>
    <s v="High School"/>
    <s v="Professional"/>
    <s v="No"/>
    <n v="2"/>
    <s v="more than 10 miles"/>
    <s v="North America"/>
    <n v="61"/>
    <s v="OLD"/>
    <x v="1"/>
  </r>
  <r>
    <n v="18391"/>
    <s v="Single"/>
    <x v="0"/>
    <n v="80000"/>
    <n v="5"/>
    <s v="Partial College"/>
    <s v="Professional"/>
    <s v="Yes"/>
    <n v="2"/>
    <s v="5-10 Miles"/>
    <s v="North America"/>
    <n v="44"/>
    <s v="Middle Age"/>
    <x v="0"/>
  </r>
  <r>
    <n v="19812"/>
    <s v="Single"/>
    <x v="0"/>
    <n v="70000"/>
    <n v="2"/>
    <s v="Partial College"/>
    <s v="Professional"/>
    <s v="Yes"/>
    <n v="0"/>
    <s v="5-10 Miles"/>
    <s v="North America"/>
    <n v="49"/>
    <s v="Middle Age"/>
    <x v="1"/>
  </r>
  <r>
    <n v="27660"/>
    <s v="Married"/>
    <x v="1"/>
    <n v="80000"/>
    <n v="4"/>
    <s v="Graduate Degree"/>
    <s v="Management"/>
    <s v="Yes"/>
    <n v="2"/>
    <s v="5-10 Miles"/>
    <s v="North America"/>
    <n v="70"/>
    <s v="OLD"/>
    <x v="0"/>
  </r>
  <r>
    <n v="18058"/>
    <s v="Single"/>
    <x v="0"/>
    <n v="20000"/>
    <n v="3"/>
    <s v="High School"/>
    <s v="Skilled Manual"/>
    <s v="Yes"/>
    <n v="2"/>
    <s v="2-5 Miles"/>
    <s v="North America"/>
    <n v="78"/>
    <s v="OLD"/>
    <x v="0"/>
  </r>
  <r>
    <n v="20343"/>
    <s v="Married"/>
    <x v="0"/>
    <n v="90000"/>
    <n v="4"/>
    <s v="Partial College"/>
    <s v="Professional"/>
    <s v="Yes"/>
    <n v="1"/>
    <s v="1-2 Miles"/>
    <s v="North America"/>
    <n v="45"/>
    <s v="Middle Age"/>
    <x v="0"/>
  </r>
  <r>
    <n v="28997"/>
    <s v="Single"/>
    <x v="1"/>
    <n v="40000"/>
    <n v="2"/>
    <s v="High School"/>
    <s v="Professional"/>
    <s v="No"/>
    <n v="1"/>
    <s v="2-5 Miles"/>
    <s v="North America"/>
    <n v="58"/>
    <s v="OLD"/>
    <x v="1"/>
  </r>
  <r>
    <n v="24398"/>
    <s v="Married"/>
    <x v="1"/>
    <n v="130000"/>
    <n v="1"/>
    <s v="Graduate Degree"/>
    <s v="Management"/>
    <s v="Yes"/>
    <n v="4"/>
    <s v="0-1 Miles"/>
    <s v="North America"/>
    <n v="41"/>
    <s v="Middle Age"/>
    <x v="0"/>
  </r>
  <r>
    <n v="19002"/>
    <s v="Married"/>
    <x v="0"/>
    <n v="60000"/>
    <n v="2"/>
    <s v="Partial College"/>
    <s v="Professional"/>
    <s v="Yes"/>
    <n v="1"/>
    <s v="2-5 Miles"/>
    <s v="North America"/>
    <n v="57"/>
    <s v="OLD"/>
    <x v="1"/>
  </r>
  <r>
    <n v="28609"/>
    <s v="Married"/>
    <x v="1"/>
    <n v="30000"/>
    <n v="2"/>
    <s v="High School"/>
    <s v="Skilled Manual"/>
    <s v="No"/>
    <n v="2"/>
    <s v="0-1 Miles"/>
    <s v="North America"/>
    <n v="49"/>
    <s v="Middle Age"/>
    <x v="0"/>
  </r>
  <r>
    <n v="29231"/>
    <s v="Single"/>
    <x v="1"/>
    <n v="80000"/>
    <n v="4"/>
    <s v="Partial College"/>
    <s v="Professional"/>
    <s v="No"/>
    <n v="2"/>
    <s v="0-1 Miles"/>
    <s v="North America"/>
    <n v="43"/>
    <s v="Middle Age"/>
    <x v="0"/>
  </r>
  <r>
    <n v="18858"/>
    <s v="Single"/>
    <x v="1"/>
    <n v="60000"/>
    <n v="2"/>
    <s v="Partial High School"/>
    <s v="Skilled Manual"/>
    <s v="Yes"/>
    <n v="2"/>
    <s v="5-10 Miles"/>
    <s v="North America"/>
    <n v="52"/>
    <s v="Middle Age"/>
    <x v="1"/>
  </r>
  <r>
    <n v="20000"/>
    <s v="Married"/>
    <x v="1"/>
    <n v="60000"/>
    <n v="1"/>
    <s v="Graduate Degree"/>
    <s v="Professional"/>
    <s v="Yes"/>
    <n v="0"/>
    <s v="0-1 Miles"/>
    <s v="North America"/>
    <n v="35"/>
    <s v="Middle Age"/>
    <x v="1"/>
  </r>
  <r>
    <n v="25261"/>
    <s v="Married"/>
    <x v="1"/>
    <n v="40000"/>
    <n v="0"/>
    <s v="High School"/>
    <s v="Skilled Manual"/>
    <s v="Yes"/>
    <n v="2"/>
    <s v="5-10 Miles"/>
    <s v="North America"/>
    <n v="27"/>
    <s v="Adolesent"/>
    <x v="0"/>
  </r>
  <r>
    <n v="17458"/>
    <s v="Single"/>
    <x v="1"/>
    <n v="70000"/>
    <n v="3"/>
    <s v="High School"/>
    <s v="Professional"/>
    <s v="Yes"/>
    <n v="0"/>
    <s v="5-10 Miles"/>
    <s v="North America"/>
    <n v="52"/>
    <s v="Middle Age"/>
    <x v="1"/>
  </r>
  <r>
    <n v="11644"/>
    <s v="Single"/>
    <x v="1"/>
    <n v="40000"/>
    <n v="2"/>
    <s v="Bachelors"/>
    <s v="Skilled Manual"/>
    <s v="Yes"/>
    <n v="0"/>
    <s v="2-5 Miles"/>
    <s v="North America"/>
    <n v="36"/>
    <s v="Middle Age"/>
    <x v="0"/>
  </r>
  <r>
    <n v="16145"/>
    <s v="Single"/>
    <x v="0"/>
    <n v="70000"/>
    <n v="5"/>
    <s v="Graduate Degree"/>
    <s v="Professional"/>
    <s v="Yes"/>
    <n v="3"/>
    <s v="more than 10 miles"/>
    <s v="North America"/>
    <n v="46"/>
    <s v="Middle Age"/>
    <x v="1"/>
  </r>
  <r>
    <n v="16890"/>
    <s v="Married"/>
    <x v="1"/>
    <n v="60000"/>
    <n v="3"/>
    <s v="Partial High School"/>
    <s v="Skilled Manual"/>
    <s v="Yes"/>
    <n v="2"/>
    <s v="5-10 Miles"/>
    <s v="North America"/>
    <n v="52"/>
    <s v="Middle Age"/>
    <x v="1"/>
  </r>
  <r>
    <n v="25983"/>
    <s v="Married"/>
    <x v="1"/>
    <n v="70000"/>
    <n v="0"/>
    <s v="Bachelors"/>
    <s v="Professional"/>
    <s v="No"/>
    <n v="1"/>
    <s v="0-1 Miles"/>
    <s v="North America"/>
    <n v="43"/>
    <s v="Middle Age"/>
    <x v="0"/>
  </r>
  <r>
    <n v="14633"/>
    <s v="Married"/>
    <x v="1"/>
    <n v="60000"/>
    <n v="1"/>
    <s v="Partial College"/>
    <s v="Skilled Manual"/>
    <s v="Yes"/>
    <n v="1"/>
    <s v="2-5 Miles"/>
    <s v="North America"/>
    <n v="44"/>
    <s v="Middle Age"/>
    <x v="0"/>
  </r>
  <r>
    <n v="22994"/>
    <s v="Married"/>
    <x v="0"/>
    <n v="80000"/>
    <n v="0"/>
    <s v="Bachelors"/>
    <s v="Management"/>
    <s v="Yes"/>
    <n v="1"/>
    <s v="1-2 Miles"/>
    <s v="North America"/>
    <n v="34"/>
    <s v="Middle Age"/>
    <x v="1"/>
  </r>
  <r>
    <n v="22983"/>
    <s v="Single"/>
    <x v="0"/>
    <n v="30000"/>
    <n v="0"/>
    <s v="Partial High School"/>
    <s v="Clerical"/>
    <s v="Yes"/>
    <n v="2"/>
    <s v="5-10 Miles"/>
    <s v="North America"/>
    <n v="27"/>
    <s v="Adolesent"/>
    <x v="0"/>
  </r>
  <r>
    <n v="25184"/>
    <s v="Single"/>
    <x v="1"/>
    <n v="110000"/>
    <n v="1"/>
    <s v="Partial College"/>
    <s v="Professional"/>
    <s v="Yes"/>
    <n v="4"/>
    <s v="5-10 Miles"/>
    <s v="North America"/>
    <n v="45"/>
    <s v="Middle Age"/>
    <x v="1"/>
  </r>
  <r>
    <n v="14469"/>
    <s v="Married"/>
    <x v="0"/>
    <n v="100000"/>
    <n v="3"/>
    <s v="Partial College"/>
    <s v="Professional"/>
    <s v="Yes"/>
    <n v="4"/>
    <s v="1-2 Miles"/>
    <s v="North America"/>
    <n v="45"/>
    <s v="Middle Age"/>
    <x v="0"/>
  </r>
  <r>
    <n v="11538"/>
    <s v="Single"/>
    <x v="0"/>
    <n v="60000"/>
    <n v="4"/>
    <s v="Graduate Degree"/>
    <s v="Skilled Manual"/>
    <s v="No"/>
    <n v="0"/>
    <s v="0-1 Miles"/>
    <s v="North America"/>
    <n v="47"/>
    <s v="Middle Age"/>
    <x v="1"/>
  </r>
  <r>
    <n v="16245"/>
    <s v="Single"/>
    <x v="0"/>
    <n v="80000"/>
    <n v="4"/>
    <s v="Graduate Degree"/>
    <s v="Skilled Manual"/>
    <s v="Yes"/>
    <n v="0"/>
    <s v="1-2 Miles"/>
    <s v="North America"/>
    <n v="47"/>
    <s v="Middle Age"/>
    <x v="0"/>
  </r>
  <r>
    <n v="17858"/>
    <s v="Married"/>
    <x v="1"/>
    <n v="40000"/>
    <n v="4"/>
    <s v="High School"/>
    <s v="Skilled Manual"/>
    <s v="Yes"/>
    <n v="2"/>
    <s v="2-5 Miles"/>
    <s v="North America"/>
    <n v="44"/>
    <s v="Middle Age"/>
    <x v="1"/>
  </r>
  <r>
    <n v="25347"/>
    <s v="Single"/>
    <x v="0"/>
    <n v="20000"/>
    <n v="3"/>
    <s v="Partial High School"/>
    <s v="Clerical"/>
    <s v="No"/>
    <n v="2"/>
    <s v="0-1 Miles"/>
    <s v="North America"/>
    <n v="49"/>
    <s v="Middle Age"/>
    <x v="0"/>
  </r>
  <r>
    <n v="15814"/>
    <s v="Single"/>
    <x v="0"/>
    <n v="40000"/>
    <n v="0"/>
    <s v="High School"/>
    <s v="Skilled Manual"/>
    <s v="Yes"/>
    <n v="1"/>
    <s v="5-10 Miles"/>
    <s v="North America"/>
    <n v="30"/>
    <s v="Adolesent"/>
    <x v="0"/>
  </r>
  <r>
    <n v="11259"/>
    <s v="Married"/>
    <x v="0"/>
    <n v="100000"/>
    <n v="4"/>
    <s v="Partial College"/>
    <s v="Professional"/>
    <s v="Yes"/>
    <n v="4"/>
    <s v="2-5 Miles"/>
    <s v="North America"/>
    <n v="41"/>
    <s v="Middle Age"/>
    <x v="1"/>
  </r>
  <r>
    <n v="11200"/>
    <s v="Married"/>
    <x v="1"/>
    <n v="70000"/>
    <n v="4"/>
    <s v="Bachelors"/>
    <s v="Management"/>
    <s v="Yes"/>
    <n v="1"/>
    <s v="1-2 Miles"/>
    <s v="North America"/>
    <n v="58"/>
    <s v="OLD"/>
    <x v="0"/>
  </r>
  <r>
    <n v="25101"/>
    <s v="Married"/>
    <x v="1"/>
    <n v="60000"/>
    <n v="5"/>
    <s v="Bachelors"/>
    <s v="Professional"/>
    <s v="Yes"/>
    <n v="1"/>
    <s v="2-5 Miles"/>
    <s v="North America"/>
    <n v="47"/>
    <s v="Middle Age"/>
    <x v="0"/>
  </r>
  <r>
    <n v="21801"/>
    <s v="Married"/>
    <x v="0"/>
    <n v="70000"/>
    <n v="4"/>
    <s v="Partial College"/>
    <s v="Professional"/>
    <s v="Yes"/>
    <n v="1"/>
    <s v="1-2 Miles"/>
    <s v="North America"/>
    <n v="55"/>
    <s v="Middle Age"/>
    <x v="0"/>
  </r>
  <r>
    <n v="25943"/>
    <s v="Single"/>
    <x v="0"/>
    <n v="70000"/>
    <n v="0"/>
    <s v="Partial College"/>
    <s v="Skilled Manual"/>
    <s v="No"/>
    <n v="2"/>
    <s v="0-1 Miles"/>
    <s v="North America"/>
    <n v="27"/>
    <s v="Adolesent"/>
    <x v="1"/>
  </r>
  <r>
    <n v="22127"/>
    <s v="Married"/>
    <x v="1"/>
    <n v="60000"/>
    <n v="3"/>
    <s v="Graduate Degree"/>
    <s v="Management"/>
    <s v="Yes"/>
    <n v="2"/>
    <s v="1-2 Miles"/>
    <s v="North America"/>
    <n v="67"/>
    <s v="OLD"/>
    <x v="0"/>
  </r>
  <r>
    <n v="20414"/>
    <s v="Married"/>
    <x v="0"/>
    <n v="60000"/>
    <n v="0"/>
    <s v="Partial College"/>
    <s v="Skilled Manual"/>
    <s v="Yes"/>
    <n v="2"/>
    <s v="5-10 Miles"/>
    <s v="North America"/>
    <n v="29"/>
    <s v="Adolesent"/>
    <x v="0"/>
  </r>
  <r>
    <n v="23672"/>
    <s v="Married"/>
    <x v="0"/>
    <n v="60000"/>
    <n v="3"/>
    <s v="Graduate Degree"/>
    <s v="Management"/>
    <s v="Yes"/>
    <n v="2"/>
    <s v="1-2 Miles"/>
    <s v="North America"/>
    <n v="67"/>
    <s v="OLD"/>
    <x v="0"/>
  </r>
  <r>
    <n v="29255"/>
    <s v="Single"/>
    <x v="1"/>
    <n v="80000"/>
    <n v="3"/>
    <s v="Partial College"/>
    <s v="Professional"/>
    <s v="No"/>
    <n v="1"/>
    <s v="1-2 Miles"/>
    <s v="North America"/>
    <n v="51"/>
    <s v="Middle Age"/>
    <x v="1"/>
  </r>
  <r>
    <n v="28815"/>
    <s v="Married"/>
    <x v="0"/>
    <n v="50000"/>
    <n v="1"/>
    <s v="Graduate Degree"/>
    <s v="Skilled Manual"/>
    <s v="Yes"/>
    <n v="0"/>
    <s v="0-1 Miles"/>
    <s v="North America"/>
    <n v="35"/>
    <s v="Middle Age"/>
    <x v="0"/>
  </r>
  <r>
    <n v="27753"/>
    <s v="Married"/>
    <x v="1"/>
    <n v="40000"/>
    <n v="0"/>
    <s v="High School"/>
    <s v="Skilled Manual"/>
    <s v="No"/>
    <n v="2"/>
    <s v="1-2 Miles"/>
    <s v="North America"/>
    <n v="30"/>
    <s v="Adolesent"/>
    <x v="0"/>
  </r>
  <r>
    <n v="27643"/>
    <s v="Single"/>
    <x v="1"/>
    <n v="70000"/>
    <n v="5"/>
    <s v="Partial College"/>
    <s v="Professional"/>
    <s v="Yes"/>
    <n v="3"/>
    <s v="2-5 Miles"/>
    <s v="North America"/>
    <n v="44"/>
    <s v="Middle Age"/>
    <x v="0"/>
  </r>
  <r>
    <n v="13754"/>
    <s v="Single"/>
    <x v="0"/>
    <n v="80000"/>
    <n v="4"/>
    <s v="Graduate Degree"/>
    <s v="Skilled Manual"/>
    <s v="Yes"/>
    <n v="0"/>
    <s v="1-2 Miles"/>
    <s v="North America"/>
    <n v="48"/>
    <s v="Middle Age"/>
    <x v="0"/>
  </r>
  <r>
    <n v="22088"/>
    <s v="Married"/>
    <x v="0"/>
    <n v="130000"/>
    <n v="1"/>
    <s v="Bachelors"/>
    <s v="Management"/>
    <s v="Yes"/>
    <n v="2"/>
    <s v="0-1 Miles"/>
    <s v="North America"/>
    <n v="45"/>
    <s v="Middle Age"/>
    <x v="1"/>
  </r>
  <r>
    <n v="27388"/>
    <s v="Married"/>
    <x v="1"/>
    <n v="60000"/>
    <n v="3"/>
    <s v="Bachelors"/>
    <s v="Management"/>
    <s v="No"/>
    <n v="2"/>
    <s v="1-2 Miles"/>
    <s v="North America"/>
    <n v="66"/>
    <s v="OLD"/>
    <x v="0"/>
  </r>
  <r>
    <n v="24745"/>
    <s v="Single"/>
    <x v="0"/>
    <n v="30000"/>
    <n v="2"/>
    <s v="High School"/>
    <s v="Skilled Manual"/>
    <s v="No"/>
    <n v="2"/>
    <s v="0-1 Miles"/>
    <s v="North America"/>
    <n v="49"/>
    <s v="Middle Age"/>
    <x v="0"/>
  </r>
  <r>
    <n v="29237"/>
    <s v="Single"/>
    <x v="0"/>
    <n v="120000"/>
    <n v="4"/>
    <s v="Partial College"/>
    <s v="Professional"/>
    <s v="Yes"/>
    <n v="3"/>
    <s v="5-10 Miles"/>
    <s v="North America"/>
    <n v="43"/>
    <s v="Middle Age"/>
    <x v="1"/>
  </r>
  <r>
    <n v="15272"/>
    <s v="Single"/>
    <x v="1"/>
    <n v="40000"/>
    <n v="0"/>
    <s v="High School"/>
    <s v="Skilled Manual"/>
    <s v="No"/>
    <n v="2"/>
    <s v="1-2 Miles"/>
    <s v="North America"/>
    <n v="30"/>
    <s v="Adolesent"/>
    <x v="0"/>
  </r>
  <r>
    <n v="18949"/>
    <s v="Single"/>
    <x v="1"/>
    <n v="70000"/>
    <n v="0"/>
    <s v="Graduate Degree"/>
    <s v="Management"/>
    <s v="Yes"/>
    <n v="2"/>
    <s v="5-10 Miles"/>
    <s v="North America"/>
    <n v="74"/>
    <s v="OLD"/>
    <x v="1"/>
  </r>
  <r>
    <n v="14507"/>
    <s v="Married"/>
    <x v="1"/>
    <n v="100000"/>
    <n v="2"/>
    <s v="Graduate Degree"/>
    <s v="Management"/>
    <s v="Yes"/>
    <n v="3"/>
    <s v="1-2 Miles"/>
    <s v="North America"/>
    <n v="65"/>
    <s v="OLD"/>
    <x v="0"/>
  </r>
  <r>
    <n v="25886"/>
    <s v="Married"/>
    <x v="0"/>
    <n v="60000"/>
    <n v="2"/>
    <s v="Partial College"/>
    <s v="Professional"/>
    <s v="Yes"/>
    <n v="2"/>
    <s v="2-5 Miles"/>
    <s v="North America"/>
    <n v="56"/>
    <s v="OLD"/>
    <x v="1"/>
  </r>
  <r>
    <n v="21441"/>
    <s v="Married"/>
    <x v="1"/>
    <n v="50000"/>
    <n v="4"/>
    <s v="Bachelors"/>
    <s v="Management"/>
    <s v="Yes"/>
    <n v="2"/>
    <s v="more than 10 miles"/>
    <s v="North America"/>
    <n v="64"/>
    <s v="OLD"/>
    <x v="0"/>
  </r>
  <r>
    <n v="21741"/>
    <s v="Married"/>
    <x v="0"/>
    <n v="70000"/>
    <n v="3"/>
    <s v="Partial College"/>
    <s v="Professional"/>
    <s v="Yes"/>
    <n v="2"/>
    <s v="5-10 Miles"/>
    <s v="North America"/>
    <n v="50"/>
    <s v="Middle Age"/>
    <x v="1"/>
  </r>
  <r>
    <n v="14572"/>
    <s v="Married"/>
    <x v="0"/>
    <n v="70000"/>
    <n v="3"/>
    <s v="Graduate Degree"/>
    <s v="Professional"/>
    <s v="Yes"/>
    <n v="0"/>
    <s v="2-5 Miles"/>
    <s v="North America"/>
    <n v="35"/>
    <s v="Middle Age"/>
    <x v="1"/>
  </r>
  <r>
    <n v="23368"/>
    <s v="Married"/>
    <x v="0"/>
    <n v="60000"/>
    <n v="5"/>
    <s v="Bachelors"/>
    <s v="Skilled Manual"/>
    <s v="Yes"/>
    <n v="3"/>
    <s v="more than 10 miles"/>
    <s v="North America"/>
    <n v="41"/>
    <s v="Middle Age"/>
    <x v="0"/>
  </r>
  <r>
    <n v="16217"/>
    <s v="Single"/>
    <x v="0"/>
    <n v="60000"/>
    <n v="0"/>
    <s v="Graduate Degree"/>
    <s v="Skilled Manual"/>
    <s v="Yes"/>
    <n v="0"/>
    <s v="0-1 Miles"/>
    <s v="North America"/>
    <n v="39"/>
    <s v="Middle Age"/>
    <x v="0"/>
  </r>
  <r>
    <n v="16247"/>
    <s v="Single"/>
    <x v="0"/>
    <n v="60000"/>
    <n v="4"/>
    <s v="Graduate Degree"/>
    <s v="Skilled Manual"/>
    <s v="No"/>
    <n v="0"/>
    <s v="1-2 Miles"/>
    <s v="North America"/>
    <n v="47"/>
    <s v="Middle Age"/>
    <x v="0"/>
  </r>
  <r>
    <n v="22010"/>
    <s v="Single"/>
    <x v="1"/>
    <n v="40000"/>
    <n v="0"/>
    <s v="High School"/>
    <s v="Skilled Manual"/>
    <s v="Yes"/>
    <n v="2"/>
    <s v="5-10 Miles"/>
    <s v="North America"/>
    <n v="31"/>
    <s v="Middle Age"/>
    <x v="0"/>
  </r>
  <r>
    <n v="25872"/>
    <s v="Single"/>
    <x v="0"/>
    <n v="70000"/>
    <n v="2"/>
    <s v="Bachelors"/>
    <s v="Management"/>
    <s v="No"/>
    <n v="1"/>
    <s v="2-5 Miles"/>
    <s v="North America"/>
    <n v="58"/>
    <s v="OLD"/>
    <x v="1"/>
  </r>
  <r>
    <n v="19164"/>
    <s v="Single"/>
    <x v="0"/>
    <n v="70000"/>
    <n v="0"/>
    <s v="Bachelors"/>
    <s v="Professional"/>
    <s v="No"/>
    <n v="1"/>
    <s v="2-5 Miles"/>
    <s v="North America"/>
    <n v="38"/>
    <s v="Middle Age"/>
    <x v="1"/>
  </r>
  <r>
    <n v="18435"/>
    <s v="Single"/>
    <x v="0"/>
    <n v="70000"/>
    <n v="5"/>
    <s v="Graduate Degree"/>
    <s v="Management"/>
    <s v="Yes"/>
    <n v="2"/>
    <s v="more than 10 miles"/>
    <s v="North America"/>
    <n v="67"/>
    <s v="OLD"/>
    <x v="1"/>
  </r>
  <r>
    <n v="14284"/>
    <s v="Single"/>
    <x v="1"/>
    <n v="60000"/>
    <n v="0"/>
    <s v="Partial College"/>
    <s v="Professional"/>
    <s v="No"/>
    <n v="2"/>
    <s v="1-2 Miles"/>
    <s v="North America"/>
    <n v="32"/>
    <s v="Middle Age"/>
    <x v="1"/>
  </r>
  <r>
    <n v="11287"/>
    <s v="Married"/>
    <x v="1"/>
    <n v="70000"/>
    <n v="5"/>
    <s v="Partial College"/>
    <s v="Professional"/>
    <s v="No"/>
    <n v="3"/>
    <s v="5-10 Miles"/>
    <s v="North America"/>
    <n v="45"/>
    <s v="Middle Age"/>
    <x v="0"/>
  </r>
  <r>
    <n v="13066"/>
    <s v="Single"/>
    <x v="1"/>
    <n v="30000"/>
    <n v="0"/>
    <s v="High School"/>
    <s v="Skilled Manual"/>
    <s v="No"/>
    <n v="2"/>
    <s v="1-2 Miles"/>
    <s v="North America"/>
    <n v="31"/>
    <s v="Middle Age"/>
    <x v="1"/>
  </r>
  <r>
    <n v="29106"/>
    <s v="Single"/>
    <x v="1"/>
    <n v="40000"/>
    <n v="0"/>
    <s v="High School"/>
    <s v="Skilled Manual"/>
    <s v="No"/>
    <n v="2"/>
    <s v="1-2 Miles"/>
    <s v="North America"/>
    <n v="31"/>
    <s v="Middle Age"/>
    <x v="1"/>
  </r>
  <r>
    <n v="26236"/>
    <s v="Married"/>
    <x v="0"/>
    <n v="40000"/>
    <n v="3"/>
    <s v="Partial College"/>
    <s v="Clerical"/>
    <s v="Yes"/>
    <n v="1"/>
    <s v="0-1 Miles"/>
    <s v="North America"/>
    <n v="31"/>
    <s v="Middle Age"/>
    <x v="0"/>
  </r>
  <r>
    <n v="17531"/>
    <s v="Married"/>
    <x v="1"/>
    <n v="60000"/>
    <n v="2"/>
    <s v="High School"/>
    <s v="Professional"/>
    <s v="No"/>
    <n v="2"/>
    <s v="5-10 Miles"/>
    <s v="North America"/>
    <n v="50"/>
    <s v="Middle Age"/>
    <x v="0"/>
  </r>
  <r>
    <n v="12964"/>
    <s v="Married"/>
    <x v="1"/>
    <n v="70000"/>
    <n v="1"/>
    <s v="Partial College"/>
    <s v="Skilled Manual"/>
    <s v="Yes"/>
    <n v="1"/>
    <s v="0-1 Miles"/>
    <s v="North America"/>
    <n v="44"/>
    <s v="Middle Age"/>
    <x v="0"/>
  </r>
  <r>
    <n v="19133"/>
    <s v="Single"/>
    <x v="1"/>
    <n v="50000"/>
    <n v="2"/>
    <s v="Bachelors"/>
    <s v="Skilled Manual"/>
    <s v="Yes"/>
    <n v="1"/>
    <s v="2-5 Miles"/>
    <s v="North America"/>
    <n v="38"/>
    <s v="Middle Age"/>
    <x v="1"/>
  </r>
  <r>
    <n v="24643"/>
    <s v="Single"/>
    <x v="0"/>
    <n v="60000"/>
    <n v="4"/>
    <s v="Bachelors"/>
    <s v="Management"/>
    <s v="Yes"/>
    <n v="2"/>
    <s v="more than 10 miles"/>
    <s v="North America"/>
    <n v="63"/>
    <s v="OLD"/>
    <x v="0"/>
  </r>
  <r>
    <n v="21599"/>
    <s v="Married"/>
    <x v="0"/>
    <n v="60000"/>
    <n v="1"/>
    <s v="Graduate Degree"/>
    <s v="Professional"/>
    <s v="Yes"/>
    <n v="0"/>
    <s v="2-5 Miles"/>
    <s v="North America"/>
    <n v="36"/>
    <s v="Middle Age"/>
    <x v="1"/>
  </r>
  <r>
    <n v="22976"/>
    <s v="Single"/>
    <x v="1"/>
    <n v="40000"/>
    <n v="0"/>
    <s v="High School"/>
    <s v="Skilled Manual"/>
    <s v="No"/>
    <n v="2"/>
    <s v="0-1 Miles"/>
    <s v="North America"/>
    <n v="28"/>
    <s v="Adolesent"/>
    <x v="1"/>
  </r>
  <r>
    <n v="27637"/>
    <s v="Single"/>
    <x v="0"/>
    <n v="100000"/>
    <n v="1"/>
    <s v="Partial College"/>
    <s v="Professional"/>
    <s v="No"/>
    <n v="3"/>
    <s v="1-2 Miles"/>
    <s v="North America"/>
    <n v="44"/>
    <s v="Middle Age"/>
    <x v="0"/>
  </r>
  <r>
    <n v="11890"/>
    <s v="Married"/>
    <x v="0"/>
    <n v="70000"/>
    <n v="5"/>
    <s v="Graduate Degree"/>
    <s v="Professional"/>
    <s v="Yes"/>
    <n v="1"/>
    <s v="0-1 Miles"/>
    <s v="North America"/>
    <n v="47"/>
    <s v="Middle Age"/>
    <x v="0"/>
  </r>
  <r>
    <n v="28580"/>
    <s v="Married"/>
    <x v="0"/>
    <n v="80000"/>
    <n v="0"/>
    <s v="Graduate Degree"/>
    <s v="Skilled Manual"/>
    <s v="Yes"/>
    <n v="0"/>
    <s v="1-2 Miles"/>
    <s v="North America"/>
    <n v="40"/>
    <s v="Middle Age"/>
    <x v="1"/>
  </r>
  <r>
    <n v="14443"/>
    <s v="Married"/>
    <x v="1"/>
    <n v="130000"/>
    <n v="1"/>
    <s v="Graduate Degree"/>
    <s v="Management"/>
    <s v="Yes"/>
    <n v="4"/>
    <s v="0-1 Miles"/>
    <s v="North America"/>
    <n v="40"/>
    <s v="Middle Age"/>
    <x v="0"/>
  </r>
  <r>
    <n v="17864"/>
    <s v="Married"/>
    <x v="0"/>
    <n v="60000"/>
    <n v="1"/>
    <s v="Partial College"/>
    <s v="Skilled Manual"/>
    <s v="Yes"/>
    <n v="1"/>
    <s v="2-5 Miles"/>
    <s v="North America"/>
    <n v="46"/>
    <s v="Middle Age"/>
    <x v="1"/>
  </r>
  <r>
    <n v="20505"/>
    <s v="Married"/>
    <x v="0"/>
    <n v="40000"/>
    <n v="5"/>
    <s v="High School"/>
    <s v="Professional"/>
    <s v="No"/>
    <n v="2"/>
    <s v="more than 10 miles"/>
    <s v="North America"/>
    <n v="61"/>
    <s v="OLD"/>
    <x v="0"/>
  </r>
  <r>
    <n v="14592"/>
    <s v="Married"/>
    <x v="0"/>
    <n v="60000"/>
    <n v="0"/>
    <s v="Graduate Degree"/>
    <s v="Professional"/>
    <s v="Yes"/>
    <n v="0"/>
    <s v="0-1 Miles"/>
    <s v="North America"/>
    <n v="40"/>
    <s v="Middle Age"/>
    <x v="0"/>
  </r>
  <r>
    <n v="22227"/>
    <s v="Married"/>
    <x v="0"/>
    <n v="60000"/>
    <n v="2"/>
    <s v="High School"/>
    <s v="Professional"/>
    <s v="Yes"/>
    <n v="2"/>
    <s v="5-10 Miles"/>
    <s v="North America"/>
    <n v="50"/>
    <s v="Middle Age"/>
    <x v="0"/>
  </r>
  <r>
    <n v="21471"/>
    <s v="Married"/>
    <x v="1"/>
    <n v="70000"/>
    <n v="2"/>
    <s v="Partial College"/>
    <s v="Professional"/>
    <s v="Yes"/>
    <n v="1"/>
    <s v="more than 10 miles"/>
    <s v="North America"/>
    <n v="59"/>
    <s v="OLD"/>
    <x v="0"/>
  </r>
  <r>
    <n v="22252"/>
    <s v="Single"/>
    <x v="0"/>
    <n v="60000"/>
    <n v="1"/>
    <s v="Graduate Degree"/>
    <s v="Professional"/>
    <s v="Yes"/>
    <n v="0"/>
    <s v="2-5 Miles"/>
    <s v="North America"/>
    <n v="36"/>
    <s v="Middle Age"/>
    <x v="1"/>
  </r>
  <r>
    <n v="21260"/>
    <s v="Single"/>
    <x v="0"/>
    <n v="40000"/>
    <n v="0"/>
    <s v="High School"/>
    <s v="Skilled Manual"/>
    <s v="Yes"/>
    <n v="2"/>
    <s v="5-10 Miles"/>
    <s v="North America"/>
    <n v="30"/>
    <s v="Adolesent"/>
    <x v="0"/>
  </r>
  <r>
    <n v="11817"/>
    <s v="Single"/>
    <x v="0"/>
    <n v="70000"/>
    <n v="4"/>
    <s v="Graduate Degree"/>
    <s v="Professional"/>
    <s v="Yes"/>
    <n v="0"/>
    <s v="2-5 Miles"/>
    <s v="North America"/>
    <n v="35"/>
    <s v="Middle Age"/>
    <x v="1"/>
  </r>
  <r>
    <n v="19223"/>
    <s v="Married"/>
    <x v="0"/>
    <n v="30000"/>
    <n v="2"/>
    <s v="High School"/>
    <s v="Skilled Manual"/>
    <s v="Yes"/>
    <n v="2"/>
    <s v="1-2 Miles"/>
    <s v="North America"/>
    <n v="48"/>
    <s v="Middle Age"/>
    <x v="0"/>
  </r>
  <r>
    <n v="18517"/>
    <s v="Married"/>
    <x v="1"/>
    <n v="100000"/>
    <n v="3"/>
    <s v="Bachelors"/>
    <s v="Management"/>
    <s v="Yes"/>
    <n v="4"/>
    <s v="0-1 Miles"/>
    <s v="North America"/>
    <n v="41"/>
    <s v="Middle Age"/>
    <x v="0"/>
  </r>
  <r>
    <n v="21717"/>
    <s v="Married"/>
    <x v="1"/>
    <n v="40000"/>
    <n v="2"/>
    <s v="Partial College"/>
    <s v="Clerical"/>
    <s v="Yes"/>
    <n v="1"/>
    <s v="0-1 Miles"/>
    <s v="North America"/>
    <n v="47"/>
    <s v="Middle Age"/>
    <x v="0"/>
  </r>
  <r>
    <n v="13760"/>
    <s v="Married"/>
    <x v="1"/>
    <n v="60000"/>
    <n v="4"/>
    <s v="Graduate Degree"/>
    <s v="Skilled Manual"/>
    <s v="No"/>
    <n v="0"/>
    <s v="0-1 Miles"/>
    <s v="North America"/>
    <n v="47"/>
    <s v="Middle Age"/>
    <x v="0"/>
  </r>
  <r>
    <n v="18145"/>
    <s v="Married"/>
    <x v="1"/>
    <n v="80000"/>
    <n v="5"/>
    <s v="Bachelors"/>
    <s v="Management"/>
    <s v="No"/>
    <n v="2"/>
    <s v="2-5 Miles"/>
    <s v="Europe"/>
    <n v="62"/>
    <s v="OLD"/>
    <x v="0"/>
  </r>
  <r>
    <n v="21770"/>
    <s v="Married"/>
    <x v="1"/>
    <n v="60000"/>
    <n v="4"/>
    <s v="Bachelors"/>
    <s v="Management"/>
    <s v="Yes"/>
    <n v="2"/>
    <s v="more than 10 miles"/>
    <s v="North America"/>
    <n v="60"/>
    <s v="OLD"/>
    <x v="0"/>
  </r>
  <r>
    <n v="11165"/>
    <s v="Married"/>
    <x v="0"/>
    <n v="60000"/>
    <n v="0"/>
    <s v="Partial College"/>
    <s v="Skilled Manual"/>
    <s v="No"/>
    <n v="1"/>
    <s v="1-2 Miles"/>
    <s v="North America"/>
    <n v="33"/>
    <s v="Middle Age"/>
    <x v="0"/>
  </r>
  <r>
    <n v="16377"/>
    <s v="Single"/>
    <x v="0"/>
    <n v="80000"/>
    <n v="4"/>
    <s v="Graduate Degree"/>
    <s v="Skilled Manual"/>
    <s v="No"/>
    <n v="0"/>
    <s v="0-1 Miles"/>
    <s v="North America"/>
    <n v="47"/>
    <s v="Middle Age"/>
    <x v="0"/>
  </r>
  <r>
    <n v="26248"/>
    <s v="Married"/>
    <x v="1"/>
    <n v="20000"/>
    <n v="3"/>
    <s v="Partial High School"/>
    <s v="Clerical"/>
    <s v="No"/>
    <n v="2"/>
    <s v="0-1 Miles"/>
    <s v="North America"/>
    <n v="52"/>
    <s v="Middle Age"/>
    <x v="0"/>
  </r>
  <r>
    <n v="23461"/>
    <s v="Married"/>
    <x v="0"/>
    <n v="90000"/>
    <n v="5"/>
    <s v="Partial College"/>
    <s v="Professional"/>
    <s v="Yes"/>
    <n v="3"/>
    <s v="2-5 Miles"/>
    <s v="North America"/>
    <n v="40"/>
    <s v="Middle Age"/>
    <x v="0"/>
  </r>
  <r>
    <n v="29133"/>
    <s v="Single"/>
    <x v="0"/>
    <n v="60000"/>
    <n v="4"/>
    <s v="Bachelors"/>
    <s v="Skilled Manual"/>
    <s v="No"/>
    <n v="2"/>
    <s v="0-1 Miles"/>
    <s v="North America"/>
    <n v="42"/>
    <s v="Middle Age"/>
    <x v="0"/>
  </r>
  <r>
    <n v="27673"/>
    <s v="Single"/>
    <x v="0"/>
    <n v="60000"/>
    <n v="3"/>
    <s v="Graduate Degree"/>
    <s v="Management"/>
    <s v="Yes"/>
    <n v="2"/>
    <s v="5-10 Miles"/>
    <s v="North America"/>
    <n v="53"/>
    <s v="Middle Age"/>
    <x v="1"/>
  </r>
  <r>
    <n v="12774"/>
    <s v="Married"/>
    <x v="0"/>
    <n v="40000"/>
    <n v="1"/>
    <s v="Partial College"/>
    <s v="Clerical"/>
    <s v="Yes"/>
    <n v="1"/>
    <s v="1-2 Miles"/>
    <s v="North America"/>
    <n v="51"/>
    <s v="Middle Age"/>
    <x v="1"/>
  </r>
  <r>
    <n v="18910"/>
    <s v="Single"/>
    <x v="1"/>
    <n v="30000"/>
    <n v="0"/>
    <s v="Partial College"/>
    <s v="Skilled Manual"/>
    <s v="Yes"/>
    <n v="2"/>
    <s v="5-10 Miles"/>
    <s v="North America"/>
    <n v="30"/>
    <s v="Adolesent"/>
    <x v="0"/>
  </r>
  <r>
    <n v="11699"/>
    <s v="Single"/>
    <x v="1"/>
    <n v="60000"/>
    <n v="0"/>
    <s v="Bachelors"/>
    <s v="Skilled Manual"/>
    <s v="No"/>
    <n v="2"/>
    <s v="0-1 Miles"/>
    <s v="North America"/>
    <n v="30"/>
    <s v="Adolesent"/>
    <x v="0"/>
  </r>
  <r>
    <n v="16725"/>
    <s v="Married"/>
    <x v="1"/>
    <n v="30000"/>
    <n v="0"/>
    <s v="High School"/>
    <s v="Skilled Manual"/>
    <s v="Yes"/>
    <n v="2"/>
    <s v="5-10 Miles"/>
    <s v="North America"/>
    <n v="26"/>
    <s v="Adolesent"/>
    <x v="0"/>
  </r>
  <r>
    <n v="28269"/>
    <s v="Single"/>
    <x v="0"/>
    <n v="130000"/>
    <n v="1"/>
    <s v="Bachelors"/>
    <s v="Management"/>
    <s v="No"/>
    <n v="1"/>
    <s v="2-5 Miles"/>
    <s v="North America"/>
    <n v="45"/>
    <s v="Middle Age"/>
    <x v="0"/>
  </r>
  <r>
    <n v="23144"/>
    <s v="Married"/>
    <x v="1"/>
    <n v="50000"/>
    <n v="1"/>
    <s v="Bachelors"/>
    <s v="Skilled Manual"/>
    <s v="Yes"/>
    <n v="0"/>
    <s v="0-1 Miles"/>
    <s v="North America"/>
    <n v="34"/>
    <s v="Middle Age"/>
    <x v="1"/>
  </r>
  <r>
    <n v="23376"/>
    <s v="Married"/>
    <x v="1"/>
    <n v="70000"/>
    <n v="1"/>
    <s v="Bachelors"/>
    <s v="Professional"/>
    <s v="Yes"/>
    <n v="1"/>
    <s v="2-5 Miles"/>
    <s v="North America"/>
    <n v="44"/>
    <s v="Middle Age"/>
    <x v="1"/>
  </r>
  <r>
    <n v="25970"/>
    <s v="Single"/>
    <x v="0"/>
    <n v="60000"/>
    <n v="4"/>
    <s v="Bachelors"/>
    <s v="Skilled Manual"/>
    <s v="No"/>
    <n v="2"/>
    <s v="0-1 Miles"/>
    <s v="North America"/>
    <n v="41"/>
    <s v="Middle Age"/>
    <x v="1"/>
  </r>
  <r>
    <n v="28068"/>
    <s v="Single"/>
    <x v="0"/>
    <n v="80000"/>
    <n v="3"/>
    <s v="Graduate Degree"/>
    <s v="Professional"/>
    <s v="No"/>
    <n v="0"/>
    <s v="0-1 Miles"/>
    <s v="North America"/>
    <n v="36"/>
    <s v="Middle Age"/>
    <x v="1"/>
  </r>
  <r>
    <n v="18390"/>
    <s v="Married"/>
    <x v="1"/>
    <n v="80000"/>
    <n v="5"/>
    <s v="Partial College"/>
    <s v="Professional"/>
    <s v="Yes"/>
    <n v="2"/>
    <s v="0-1 Miles"/>
    <s v="North America"/>
    <n v="44"/>
    <s v="Middle Age"/>
    <x v="0"/>
  </r>
  <r>
    <n v="29112"/>
    <s v="Single"/>
    <x v="1"/>
    <n v="60000"/>
    <n v="0"/>
    <s v="Partial College"/>
    <s v="Professional"/>
    <s v="No"/>
    <n v="2"/>
    <s v="1-2 Miles"/>
    <s v="North America"/>
    <n v="30"/>
    <s v="Adolesent"/>
    <x v="0"/>
  </r>
  <r>
    <n v="14090"/>
    <s v="Married"/>
    <x v="0"/>
    <n v="30000"/>
    <n v="0"/>
    <s v="Partial High School"/>
    <s v="Clerical"/>
    <s v="No"/>
    <n v="2"/>
    <s v="0-1 Miles"/>
    <s v="North America"/>
    <n v="28"/>
    <s v="Adolesent"/>
    <x v="0"/>
  </r>
  <r>
    <n v="27040"/>
    <s v="Married"/>
    <x v="1"/>
    <n v="20000"/>
    <n v="2"/>
    <s v="Partial High School"/>
    <s v="Clerical"/>
    <s v="Yes"/>
    <n v="2"/>
    <s v="1-2 Miles"/>
    <s v="North America"/>
    <n v="49"/>
    <s v="Middle Age"/>
    <x v="0"/>
  </r>
  <r>
    <n v="23479"/>
    <s v="Single"/>
    <x v="1"/>
    <n v="90000"/>
    <n v="0"/>
    <s v="Partial College"/>
    <s v="Professional"/>
    <s v="No"/>
    <n v="2"/>
    <s v="0-1 Miles"/>
    <s v="North America"/>
    <n v="43"/>
    <s v="Middle Age"/>
    <x v="1"/>
  </r>
  <r>
    <n v="16795"/>
    <s v="Married"/>
    <x v="0"/>
    <n v="70000"/>
    <n v="4"/>
    <s v="Bachelors"/>
    <s v="Management"/>
    <s v="Yes"/>
    <n v="1"/>
    <s v="1-2 Miles"/>
    <s v="North America"/>
    <n v="59"/>
    <s v="OLD"/>
    <x v="0"/>
  </r>
  <r>
    <n v="22014"/>
    <s v="Single"/>
    <x v="1"/>
    <n v="30000"/>
    <n v="0"/>
    <s v="High School"/>
    <s v="Skilled Manual"/>
    <s v="Yes"/>
    <n v="2"/>
    <s v="5-10 Miles"/>
    <s v="North America"/>
    <n v="26"/>
    <s v="Adolesent"/>
    <x v="0"/>
  </r>
  <r>
    <n v="13314"/>
    <s v="Married"/>
    <x v="1"/>
    <n v="120000"/>
    <n v="1"/>
    <s v="High School"/>
    <s v="Professional"/>
    <s v="Yes"/>
    <n v="4"/>
    <s v="5-10 Miles"/>
    <s v="North America"/>
    <n v="46"/>
    <s v="Middle Age"/>
    <x v="1"/>
  </r>
  <r>
    <n v="11619"/>
    <s v="Single"/>
    <x v="0"/>
    <n v="50000"/>
    <n v="0"/>
    <s v="Graduate Degree"/>
    <s v="Skilled Manual"/>
    <s v="Yes"/>
    <n v="0"/>
    <s v="1-2 Miles"/>
    <s v="North America"/>
    <n v="33"/>
    <s v="Middle Age"/>
    <x v="0"/>
  </r>
  <r>
    <n v="29132"/>
    <s v="Single"/>
    <x v="0"/>
    <n v="40000"/>
    <n v="0"/>
    <s v="Bachelors"/>
    <s v="Professional"/>
    <s v="Yes"/>
    <n v="1"/>
    <s v="2-5 Miles"/>
    <s v="North America"/>
    <n v="42"/>
    <s v="Middle Age"/>
    <x v="1"/>
  </r>
  <r>
    <n v="11199"/>
    <s v="Married"/>
    <x v="0"/>
    <n v="70000"/>
    <n v="4"/>
    <s v="Bachelors"/>
    <s v="Management"/>
    <s v="Yes"/>
    <n v="1"/>
    <s v="more than 10 miles"/>
    <s v="North America"/>
    <n v="59"/>
    <s v="OLD"/>
    <x v="0"/>
  </r>
  <r>
    <n v="20296"/>
    <s v="Single"/>
    <x v="0"/>
    <n v="60000"/>
    <n v="0"/>
    <s v="Partial College"/>
    <s v="Skilled Manual"/>
    <s v="No"/>
    <n v="1"/>
    <s v="1-2 Miles"/>
    <s v="North America"/>
    <n v="33"/>
    <s v="Middle Age"/>
    <x v="1"/>
  </r>
  <r>
    <n v="17546"/>
    <s v="Married"/>
    <x v="0"/>
    <n v="70000"/>
    <n v="1"/>
    <s v="Partial College"/>
    <s v="Skilled Manual"/>
    <s v="Yes"/>
    <n v="1"/>
    <s v="0-1 Miles"/>
    <s v="North America"/>
    <n v="44"/>
    <s v="Middle Age"/>
    <x v="1"/>
  </r>
  <r>
    <n v="18069"/>
    <s v="Married"/>
    <x v="1"/>
    <n v="70000"/>
    <n v="5"/>
    <s v="Bachelors"/>
    <s v="Management"/>
    <s v="Yes"/>
    <n v="4"/>
    <s v="more than 10 miles"/>
    <s v="North America"/>
    <n v="60"/>
    <s v="OLD"/>
    <x v="0"/>
  </r>
  <r>
    <n v="23712"/>
    <s v="Single"/>
    <x v="0"/>
    <n v="70000"/>
    <n v="2"/>
    <s v="Bachelors"/>
    <s v="Management"/>
    <s v="Yes"/>
    <n v="1"/>
    <s v="more than 10 miles"/>
    <s v="North America"/>
    <n v="59"/>
    <s v="OLD"/>
    <x v="0"/>
  </r>
  <r>
    <n v="23358"/>
    <s v="Married"/>
    <x v="1"/>
    <n v="60000"/>
    <n v="0"/>
    <s v="High School"/>
    <s v="Professional"/>
    <s v="Yes"/>
    <n v="2"/>
    <s v="5-10 Miles"/>
    <s v="North America"/>
    <n v="32"/>
    <s v="Middle Age"/>
    <x v="1"/>
  </r>
  <r>
    <n v="20518"/>
    <s v="Married"/>
    <x v="0"/>
    <n v="70000"/>
    <n v="2"/>
    <s v="Partial College"/>
    <s v="Professional"/>
    <s v="Yes"/>
    <n v="1"/>
    <s v="more than 10 miles"/>
    <s v="North America"/>
    <n v="58"/>
    <s v="OLD"/>
    <x v="0"/>
  </r>
  <r>
    <n v="28026"/>
    <s v="Married"/>
    <x v="0"/>
    <n v="40000"/>
    <n v="2"/>
    <s v="High School"/>
    <s v="Professional"/>
    <s v="No"/>
    <n v="2"/>
    <s v="2-5 Miles"/>
    <s v="North America"/>
    <n v="59"/>
    <s v="OLD"/>
    <x v="0"/>
  </r>
  <r>
    <n v="11669"/>
    <s v="Single"/>
    <x v="0"/>
    <n v="70000"/>
    <n v="2"/>
    <s v="Bachelors"/>
    <s v="Skilled Manual"/>
    <s v="Yes"/>
    <n v="1"/>
    <s v="2-5 Miles"/>
    <s v="North America"/>
    <n v="38"/>
    <s v="Middle Age"/>
    <x v="0"/>
  </r>
  <r>
    <n v="16020"/>
    <s v="Married"/>
    <x v="1"/>
    <n v="40000"/>
    <n v="0"/>
    <s v="High School"/>
    <s v="Skilled Manual"/>
    <s v="Yes"/>
    <n v="2"/>
    <s v="5-10 Miles"/>
    <s v="North America"/>
    <n v="28"/>
    <s v="Adolesent"/>
    <x v="1"/>
  </r>
  <r>
    <n v="27090"/>
    <s v="Married"/>
    <x v="0"/>
    <n v="60000"/>
    <n v="1"/>
    <s v="Graduate Degree"/>
    <s v="Professional"/>
    <s v="Yes"/>
    <n v="0"/>
    <s v="2-5 Miles"/>
    <s v="North America"/>
    <n v="37"/>
    <s v="Middle Age"/>
    <x v="1"/>
  </r>
  <r>
    <n v="27198"/>
    <s v="Single"/>
    <x v="0"/>
    <n v="80000"/>
    <n v="0"/>
    <s v="Graduate Degree"/>
    <s v="Skilled Manual"/>
    <s v="No"/>
    <n v="0"/>
    <s v="0-1 Miles"/>
    <s v="North America"/>
    <n v="40"/>
    <s v="Middle Age"/>
    <x v="0"/>
  </r>
  <r>
    <n v="19661"/>
    <s v="Single"/>
    <x v="1"/>
    <n v="90000"/>
    <n v="4"/>
    <s v="Bachelors"/>
    <s v="Management"/>
    <s v="Yes"/>
    <n v="1"/>
    <s v="1-2 Miles"/>
    <s v="North America"/>
    <n v="38"/>
    <s v="Middle Age"/>
    <x v="1"/>
  </r>
  <r>
    <n v="26327"/>
    <s v="Married"/>
    <x v="1"/>
    <n v="70000"/>
    <n v="4"/>
    <s v="Graduate Degree"/>
    <s v="Professional"/>
    <s v="Yes"/>
    <n v="0"/>
    <s v="2-5 Miles"/>
    <s v="North America"/>
    <n v="36"/>
    <s v="Middle Age"/>
    <x v="1"/>
  </r>
  <r>
    <n v="26341"/>
    <s v="Married"/>
    <x v="0"/>
    <n v="70000"/>
    <n v="5"/>
    <s v="Graduate Degree"/>
    <s v="Professional"/>
    <s v="Yes"/>
    <n v="2"/>
    <s v="0-1 Miles"/>
    <s v="North America"/>
    <n v="37"/>
    <s v="Middle Age"/>
    <x v="0"/>
  </r>
  <r>
    <n v="24958"/>
    <s v="Single"/>
    <x v="0"/>
    <n v="40000"/>
    <n v="5"/>
    <s v="High School"/>
    <s v="Professional"/>
    <s v="No"/>
    <n v="3"/>
    <s v="2-5 Miles"/>
    <s v="North America"/>
    <n v="60"/>
    <s v="OLD"/>
    <x v="1"/>
  </r>
  <r>
    <n v="13287"/>
    <s v="Single"/>
    <x v="1"/>
    <n v="110000"/>
    <n v="4"/>
    <s v="Bachelors"/>
    <s v="Management"/>
    <s v="Yes"/>
    <n v="4"/>
    <s v="5-10 Miles"/>
    <s v="North America"/>
    <n v="42"/>
    <s v="Middle Age"/>
    <x v="1"/>
  </r>
  <r>
    <n v="14493"/>
    <s v="Single"/>
    <x v="0"/>
    <n v="70000"/>
    <n v="3"/>
    <s v="Graduate Degree"/>
    <s v="Management"/>
    <s v="No"/>
    <n v="2"/>
    <s v="1-2 Miles"/>
    <s v="North America"/>
    <n v="53"/>
    <s v="Middle Age"/>
    <x v="0"/>
  </r>
  <r>
    <n v="26678"/>
    <s v="Single"/>
    <x v="0"/>
    <n v="80000"/>
    <n v="2"/>
    <s v="Partial High School"/>
    <s v="Skilled Manual"/>
    <s v="Yes"/>
    <n v="2"/>
    <s v="5-10 Miles"/>
    <s v="North America"/>
    <n v="49"/>
    <s v="Middle Age"/>
    <x v="0"/>
  </r>
  <r>
    <n v="23275"/>
    <s v="Married"/>
    <x v="1"/>
    <n v="30000"/>
    <n v="2"/>
    <s v="High School"/>
    <s v="Skilled Manual"/>
    <s v="Yes"/>
    <n v="2"/>
    <s v="1-2 Miles"/>
    <s v="North America"/>
    <n v="49"/>
    <s v="Middle Age"/>
    <x v="0"/>
  </r>
  <r>
    <n v="11270"/>
    <s v="Married"/>
    <x v="1"/>
    <n v="130000"/>
    <n v="2"/>
    <s v="Graduate Degree"/>
    <s v="Management"/>
    <s v="Yes"/>
    <n v="3"/>
    <s v="0-1 Miles"/>
    <s v="North America"/>
    <n v="42"/>
    <s v="Middle Age"/>
    <x v="1"/>
  </r>
  <r>
    <n v="20084"/>
    <s v="Married"/>
    <x v="1"/>
    <n v="20000"/>
    <n v="2"/>
    <s v="High School"/>
    <s v="Manual"/>
    <s v="No"/>
    <n v="2"/>
    <s v="0-1 Miles"/>
    <s v="North America"/>
    <n v="53"/>
    <s v="Middle Age"/>
    <x v="0"/>
  </r>
  <r>
    <n v="16144"/>
    <s v="Married"/>
    <x v="1"/>
    <n v="70000"/>
    <n v="1"/>
    <s v="Graduate Degree"/>
    <s v="Professional"/>
    <s v="Yes"/>
    <n v="1"/>
    <s v="0-1 Miles"/>
    <s v="North America"/>
    <n v="46"/>
    <s v="Middle Age"/>
    <x v="1"/>
  </r>
  <r>
    <n v="27731"/>
    <s v="Married"/>
    <x v="1"/>
    <n v="40000"/>
    <n v="0"/>
    <s v="High School"/>
    <s v="Skilled Manual"/>
    <s v="Yes"/>
    <n v="2"/>
    <s v="5-10 Miles"/>
    <s v="North America"/>
    <n v="27"/>
    <s v="Adolesent"/>
    <x v="0"/>
  </r>
  <r>
    <n v="11886"/>
    <s v="Married"/>
    <x v="0"/>
    <n v="60000"/>
    <n v="3"/>
    <s v="Bachelors"/>
    <s v="Professional"/>
    <s v="Yes"/>
    <n v="1"/>
    <s v="0-1 Miles"/>
    <s v="North America"/>
    <n v="48"/>
    <s v="Middle Age"/>
    <x v="1"/>
  </r>
  <r>
    <n v="24324"/>
    <s v="Single"/>
    <x v="0"/>
    <n v="60000"/>
    <n v="4"/>
    <s v="Bachelors"/>
    <s v="Skilled Manual"/>
    <s v="Yes"/>
    <n v="2"/>
    <s v="2-5 Miles"/>
    <s v="North America"/>
    <n v="41"/>
    <s v="Middle Age"/>
    <x v="1"/>
  </r>
  <r>
    <n v="22220"/>
    <s v="Married"/>
    <x v="1"/>
    <n v="60000"/>
    <n v="2"/>
    <s v="High School"/>
    <s v="Professional"/>
    <s v="No"/>
    <n v="2"/>
    <s v="1-2 Miles"/>
    <s v="North America"/>
    <n v="49"/>
    <s v="Middle Age"/>
    <x v="1"/>
  </r>
  <r>
    <n v="26625"/>
    <s v="Single"/>
    <x v="0"/>
    <n v="60000"/>
    <n v="0"/>
    <s v="Graduate Degree"/>
    <s v="Professional"/>
    <s v="Yes"/>
    <n v="1"/>
    <s v="2-5 Miles"/>
    <s v="North America"/>
    <n v="38"/>
    <s v="Middle Age"/>
    <x v="1"/>
  </r>
  <r>
    <n v="23027"/>
    <s v="Single"/>
    <x v="1"/>
    <n v="130000"/>
    <n v="1"/>
    <s v="Bachelors"/>
    <s v="Management"/>
    <s v="No"/>
    <n v="4"/>
    <s v="0-1 Miles"/>
    <s v="North America"/>
    <n v="44"/>
    <s v="Middle Age"/>
    <x v="0"/>
  </r>
  <r>
    <n v="16867"/>
    <s v="Single"/>
    <x v="0"/>
    <n v="130000"/>
    <n v="1"/>
    <s v="Bachelors"/>
    <s v="Management"/>
    <s v="No"/>
    <n v="3"/>
    <s v="0-1 Miles"/>
    <s v="North America"/>
    <n v="45"/>
    <s v="Middle Age"/>
    <x v="1"/>
  </r>
  <r>
    <n v="14514"/>
    <s v="Single"/>
    <x v="0"/>
    <n v="30000"/>
    <n v="0"/>
    <s v="Partial College"/>
    <s v="Skilled Manual"/>
    <s v="Yes"/>
    <n v="1"/>
    <s v="5-10 Miles"/>
    <s v="North America"/>
    <n v="26"/>
    <s v="Adolesent"/>
    <x v="0"/>
  </r>
  <r>
    <n v="19634"/>
    <s v="Married"/>
    <x v="1"/>
    <n v="40000"/>
    <n v="0"/>
    <s v="High School"/>
    <s v="Skilled Manual"/>
    <s v="Yes"/>
    <n v="1"/>
    <s v="5-10 Miles"/>
    <s v="North America"/>
    <n v="31"/>
    <s v="Middle Age"/>
    <x v="0"/>
  </r>
  <r>
    <n v="18504"/>
    <s v="Married"/>
    <x v="1"/>
    <n v="70000"/>
    <n v="2"/>
    <s v="Partial High School"/>
    <s v="Skilled Manual"/>
    <s v="No"/>
    <n v="2"/>
    <s v="1-2 Miles"/>
    <s v="North America"/>
    <n v="49"/>
    <s v="Middle Age"/>
    <x v="0"/>
  </r>
  <r>
    <n v="28799"/>
    <s v="Single"/>
    <x v="0"/>
    <n v="40000"/>
    <n v="2"/>
    <s v="Partial College"/>
    <s v="Clerical"/>
    <s v="No"/>
    <n v="1"/>
    <s v="1-2 Miles"/>
    <s v="North America"/>
    <n v="47"/>
    <s v="Middle Age"/>
    <x v="1"/>
  </r>
  <r>
    <n v="11225"/>
    <s v="Married"/>
    <x v="0"/>
    <n v="60000"/>
    <n v="2"/>
    <s v="Partial College"/>
    <s v="Professional"/>
    <s v="Yes"/>
    <n v="1"/>
    <s v="more than 10 miles"/>
    <s v="North America"/>
    <n v="55"/>
    <s v="Middle Age"/>
    <x v="0"/>
  </r>
  <r>
    <n v="17657"/>
    <s v="Married"/>
    <x v="1"/>
    <n v="40000"/>
    <n v="4"/>
    <s v="Partial College"/>
    <s v="Clerical"/>
    <s v="No"/>
    <n v="0"/>
    <s v="0-1 Miles"/>
    <s v="North America"/>
    <n v="30"/>
    <s v="Adolesent"/>
    <x v="0"/>
  </r>
  <r>
    <n v="14913"/>
    <s v="Married"/>
    <x v="0"/>
    <n v="40000"/>
    <n v="1"/>
    <s v="Partial College"/>
    <s v="Clerical"/>
    <s v="Yes"/>
    <n v="1"/>
    <s v="1-2 Miles"/>
    <s v="North America"/>
    <n v="48"/>
    <s v="Middle Age"/>
    <x v="1"/>
  </r>
  <r>
    <n v="14077"/>
    <s v="Single"/>
    <x v="1"/>
    <n v="30000"/>
    <n v="0"/>
    <s v="High School"/>
    <s v="Skilled Manual"/>
    <s v="Yes"/>
    <n v="2"/>
    <s v="5-10 Miles"/>
    <s v="North America"/>
    <n v="30"/>
    <s v="Adolesent"/>
    <x v="0"/>
  </r>
  <r>
    <n v="13296"/>
    <s v="Married"/>
    <x v="1"/>
    <n v="110000"/>
    <n v="1"/>
    <s v="Bachelors"/>
    <s v="Management"/>
    <s v="Yes"/>
    <n v="3"/>
    <s v="5-10 Miles"/>
    <s v="North America"/>
    <n v="45"/>
    <s v="Middle Age"/>
    <x v="0"/>
  </r>
  <r>
    <n v="20535"/>
    <s v="Married"/>
    <x v="0"/>
    <n v="70000"/>
    <n v="4"/>
    <s v="Partial College"/>
    <s v="Professional"/>
    <s v="Yes"/>
    <n v="1"/>
    <s v="more than 10 miles"/>
    <s v="North America"/>
    <n v="56"/>
    <s v="OLD"/>
    <x v="0"/>
  </r>
  <r>
    <n v="12452"/>
    <s v="Married"/>
    <x v="1"/>
    <n v="60000"/>
    <n v="4"/>
    <s v="Graduate Degree"/>
    <s v="Skilled Manual"/>
    <s v="Yes"/>
    <n v="0"/>
    <s v="1-2 Miles"/>
    <s v="North America"/>
    <n v="47"/>
    <s v="Middle Age"/>
    <x v="1"/>
  </r>
  <r>
    <n v="28043"/>
    <s v="Married"/>
    <x v="0"/>
    <n v="60000"/>
    <n v="2"/>
    <s v="Bachelors"/>
    <s v="Management"/>
    <s v="Yes"/>
    <n v="0"/>
    <s v="more than 10 miles"/>
    <s v="North America"/>
    <n v="56"/>
    <s v="OLD"/>
    <x v="0"/>
  </r>
  <r>
    <n v="12957"/>
    <s v="Single"/>
    <x v="0"/>
    <n v="70000"/>
    <n v="1"/>
    <s v="Bachelors"/>
    <s v="Professional"/>
    <s v="No"/>
    <n v="1"/>
    <s v="0-1 Miles"/>
    <s v="North America"/>
    <n v="44"/>
    <s v="Middle Age"/>
    <x v="0"/>
  </r>
  <r>
    <n v="15412"/>
    <s v="Married"/>
    <x v="1"/>
    <n v="130000"/>
    <n v="2"/>
    <s v="Graduate Degree"/>
    <s v="Management"/>
    <s v="Yes"/>
    <n v="3"/>
    <s v="2-5 Miles"/>
    <s v="North America"/>
    <n v="69"/>
    <s v="OLD"/>
    <x v="0"/>
  </r>
  <r>
    <n v="20514"/>
    <s v="Married"/>
    <x v="0"/>
    <n v="70000"/>
    <n v="2"/>
    <s v="Partial College"/>
    <s v="Professional"/>
    <s v="Yes"/>
    <n v="1"/>
    <s v="2-5 Miles"/>
    <s v="North America"/>
    <n v="59"/>
    <s v="OLD"/>
    <x v="0"/>
  </r>
  <r>
    <n v="20758"/>
    <s v="Married"/>
    <x v="1"/>
    <n v="30000"/>
    <n v="2"/>
    <s v="High School"/>
    <s v="Skilled Manual"/>
    <s v="Yes"/>
    <n v="2"/>
    <s v="1-2 Miles"/>
    <s v="North America"/>
    <n v="50"/>
    <s v="Middle Age"/>
    <x v="0"/>
  </r>
  <r>
    <n v="11801"/>
    <s v="Married"/>
    <x v="1"/>
    <n v="60000"/>
    <n v="1"/>
    <s v="Graduate Degree"/>
    <s v="Professional"/>
    <s v="Yes"/>
    <n v="0"/>
    <s v="2-5 Miles"/>
    <s v="North America"/>
    <n v="36"/>
    <s v="Middle Age"/>
    <x v="0"/>
  </r>
  <r>
    <n v="22211"/>
    <s v="Married"/>
    <x v="1"/>
    <n v="60000"/>
    <n v="0"/>
    <s v="Partial College"/>
    <s v="Professional"/>
    <s v="Yes"/>
    <n v="2"/>
    <s v="5-10 Miles"/>
    <s v="North America"/>
    <n v="32"/>
    <s v="Middle Age"/>
    <x v="0"/>
  </r>
  <r>
    <n v="28087"/>
    <s v="Single"/>
    <x v="0"/>
    <n v="40000"/>
    <n v="0"/>
    <s v="Partial College"/>
    <s v="Skilled Manual"/>
    <s v="No"/>
    <n v="1"/>
    <s v="1-2 Miles"/>
    <s v="North America"/>
    <n v="27"/>
    <s v="Adolesent"/>
    <x v="0"/>
  </r>
  <r>
    <n v="23668"/>
    <s v="Married"/>
    <x v="0"/>
    <n v="40000"/>
    <n v="4"/>
    <s v="High School"/>
    <s v="Professional"/>
    <s v="Yes"/>
    <n v="2"/>
    <s v="5-10 Miles"/>
    <s v="North America"/>
    <n v="59"/>
    <s v="OLD"/>
    <x v="1"/>
  </r>
  <r>
    <n v="27441"/>
    <s v="Married"/>
    <x v="1"/>
    <n v="60000"/>
    <n v="3"/>
    <s v="High School"/>
    <s v="Professional"/>
    <s v="No"/>
    <n v="2"/>
    <s v="2-5 Miles"/>
    <s v="North America"/>
    <n v="53"/>
    <s v="Middle Age"/>
    <x v="0"/>
  </r>
  <r>
    <n v="27261"/>
    <s v="Married"/>
    <x v="1"/>
    <n v="40000"/>
    <n v="1"/>
    <s v="Bachelors"/>
    <s v="Skilled Manual"/>
    <s v="No"/>
    <n v="1"/>
    <s v="0-1 Miles"/>
    <s v="North America"/>
    <n v="36"/>
    <s v="Middle Age"/>
    <x v="1"/>
  </r>
  <r>
    <n v="18649"/>
    <s v="Single"/>
    <x v="1"/>
    <n v="30000"/>
    <n v="1"/>
    <s v="High School"/>
    <s v="Clerical"/>
    <s v="Yes"/>
    <n v="2"/>
    <s v="1-2 Miles"/>
    <s v="North America"/>
    <n v="51"/>
    <s v="Middle Age"/>
    <x v="1"/>
  </r>
  <r>
    <n v="21714"/>
    <s v="Single"/>
    <x v="0"/>
    <n v="80000"/>
    <n v="5"/>
    <s v="Graduate Degree"/>
    <s v="Skilled Manual"/>
    <s v="No"/>
    <n v="0"/>
    <s v="0-1 Miles"/>
    <s v="North America"/>
    <n v="47"/>
    <s v="Middle Age"/>
    <x v="0"/>
  </r>
  <r>
    <n v="23217"/>
    <s v="Single"/>
    <x v="0"/>
    <n v="60000"/>
    <n v="3"/>
    <s v="Graduate Degree"/>
    <s v="Professional"/>
    <s v="Yes"/>
    <n v="0"/>
    <s v="2-5 Miles"/>
    <s v="North America"/>
    <n v="43"/>
    <s v="Middle Age"/>
    <x v="1"/>
  </r>
  <r>
    <n v="23797"/>
    <s v="Single"/>
    <x v="1"/>
    <n v="20000"/>
    <n v="3"/>
    <s v="Partial High School"/>
    <s v="Clerical"/>
    <s v="No"/>
    <n v="2"/>
    <s v="0-1 Miles"/>
    <s v="North America"/>
    <n v="50"/>
    <s v="Middle Age"/>
    <x v="0"/>
  </r>
  <r>
    <n v="13216"/>
    <s v="Married"/>
    <x v="0"/>
    <n v="60000"/>
    <n v="5"/>
    <s v="Bachelors"/>
    <s v="Management"/>
    <s v="Yes"/>
    <n v="3"/>
    <s v="more than 10 miles"/>
    <s v="North America"/>
    <n v="59"/>
    <s v="OLD"/>
    <x v="0"/>
  </r>
  <r>
    <n v="20657"/>
    <s v="Single"/>
    <x v="1"/>
    <n v="50000"/>
    <n v="2"/>
    <s v="Bachelors"/>
    <s v="Skilled Manual"/>
    <s v="Yes"/>
    <n v="0"/>
    <s v="2-5 Miles"/>
    <s v="North America"/>
    <n v="37"/>
    <s v="Middle Age"/>
    <x v="1"/>
  </r>
  <r>
    <n v="12882"/>
    <s v="Married"/>
    <x v="1"/>
    <n v="50000"/>
    <n v="1"/>
    <s v="Graduate Degree"/>
    <s v="Skilled Manual"/>
    <s v="Yes"/>
    <n v="0"/>
    <s v="0-1 Miles"/>
    <s v="North America"/>
    <n v="33"/>
    <s v="Middle Age"/>
    <x v="1"/>
  </r>
  <r>
    <n v="25908"/>
    <s v="Married"/>
    <x v="0"/>
    <n v="60000"/>
    <n v="0"/>
    <s v="Partial College"/>
    <s v="Skilled Manual"/>
    <s v="No"/>
    <n v="1"/>
    <s v="1-2 Miles"/>
    <s v="North America"/>
    <n v="27"/>
    <s v="Adolesent"/>
    <x v="0"/>
  </r>
  <r>
    <n v="16753"/>
    <s v="Single"/>
    <x v="0"/>
    <n v="70000"/>
    <n v="0"/>
    <s v="Partial College"/>
    <s v="Skilled Manual"/>
    <s v="Yes"/>
    <n v="2"/>
    <s v="5-10 Miles"/>
    <s v="North America"/>
    <n v="34"/>
    <s v="Middle Age"/>
    <x v="1"/>
  </r>
  <r>
    <n v="14608"/>
    <s v="Married"/>
    <x v="1"/>
    <n v="50000"/>
    <n v="4"/>
    <s v="Bachelors"/>
    <s v="Skilled Manual"/>
    <s v="Yes"/>
    <n v="3"/>
    <s v="more than 10 miles"/>
    <s v="North America"/>
    <n v="42"/>
    <s v="Middle Age"/>
    <x v="0"/>
  </r>
  <r>
    <n v="24979"/>
    <s v="Married"/>
    <x v="0"/>
    <n v="60000"/>
    <n v="2"/>
    <s v="Partial College"/>
    <s v="Professional"/>
    <s v="Yes"/>
    <n v="2"/>
    <s v="2-5 Miles"/>
    <s v="North America"/>
    <n v="57"/>
    <s v="OLD"/>
    <x v="1"/>
  </r>
  <r>
    <n v="13313"/>
    <s v="Married"/>
    <x v="0"/>
    <n v="120000"/>
    <n v="1"/>
    <s v="High School"/>
    <s v="Professional"/>
    <s v="No"/>
    <n v="4"/>
    <s v="2-5 Miles"/>
    <s v="North America"/>
    <n v="45"/>
    <s v="Middle Age"/>
    <x v="0"/>
  </r>
  <r>
    <n v="18952"/>
    <s v="Married"/>
    <x v="0"/>
    <n v="100000"/>
    <n v="4"/>
    <s v="Bachelors"/>
    <s v="Management"/>
    <s v="Yes"/>
    <n v="4"/>
    <s v="0-1 Miles"/>
    <s v="North America"/>
    <n v="40"/>
    <s v="Middle Age"/>
    <x v="0"/>
  </r>
  <r>
    <n v="17699"/>
    <s v="Married"/>
    <x v="1"/>
    <n v="60000"/>
    <n v="1"/>
    <s v="Graduate Degree"/>
    <s v="Skilled Manual"/>
    <s v="No"/>
    <n v="0"/>
    <s v="0-1 Miles"/>
    <s v="North America"/>
    <n v="55"/>
    <s v="Middle Age"/>
    <x v="0"/>
  </r>
  <r>
    <n v="14657"/>
    <s v="Married"/>
    <x v="1"/>
    <n v="80000"/>
    <n v="1"/>
    <s v="Partial College"/>
    <s v="Skilled Manual"/>
    <s v="No"/>
    <n v="1"/>
    <s v="0-1 Miles"/>
    <s v="North America"/>
    <n v="47"/>
    <s v="Middle Age"/>
    <x v="1"/>
  </r>
  <r>
    <n v="11540"/>
    <s v="Single"/>
    <x v="1"/>
    <n v="60000"/>
    <n v="4"/>
    <s v="Graduate Degree"/>
    <s v="Skilled Manual"/>
    <s v="Yes"/>
    <n v="0"/>
    <s v="1-2 Miles"/>
    <s v="North America"/>
    <n v="47"/>
    <s v="Middle Age"/>
    <x v="1"/>
  </r>
  <r>
    <n v="11783"/>
    <s v="Married"/>
    <x v="0"/>
    <n v="60000"/>
    <n v="1"/>
    <s v="Graduate Degree"/>
    <s v="Skilled Manual"/>
    <s v="Yes"/>
    <n v="0"/>
    <s v="0-1 Miles"/>
    <s v="North America"/>
    <n v="34"/>
    <s v="Middle Age"/>
    <x v="0"/>
  </r>
  <r>
    <n v="14602"/>
    <s v="Married"/>
    <x v="0"/>
    <n v="80000"/>
    <n v="3"/>
    <s v="Graduate Degree"/>
    <s v="Professional"/>
    <s v="Yes"/>
    <n v="0"/>
    <s v="0-1 Miles"/>
    <s v="North America"/>
    <n v="36"/>
    <s v="Middle Age"/>
    <x v="1"/>
  </r>
  <r>
    <n v="29030"/>
    <s v="Married"/>
    <x v="1"/>
    <n v="70000"/>
    <n v="2"/>
    <s v="Partial High School"/>
    <s v="Skilled Manual"/>
    <s v="Yes"/>
    <n v="2"/>
    <s v="more than 10 miles"/>
    <s v="North America"/>
    <n v="54"/>
    <s v="Middle Age"/>
    <x v="0"/>
  </r>
  <r>
    <n v="26490"/>
    <s v="Single"/>
    <x v="1"/>
    <n v="70000"/>
    <n v="2"/>
    <s v="Bachelors"/>
    <s v="Management"/>
    <s v="No"/>
    <n v="1"/>
    <s v="2-5 Miles"/>
    <s v="North America"/>
    <n v="59"/>
    <s v="OLD"/>
    <x v="1"/>
  </r>
  <r>
    <n v="13151"/>
    <s v="Single"/>
    <x v="1"/>
    <n v="40000"/>
    <n v="0"/>
    <s v="High School"/>
    <s v="Skilled Manual"/>
    <s v="Yes"/>
    <n v="2"/>
    <s v="5-10 Miles"/>
    <s v="North America"/>
    <n v="27"/>
    <s v="Adolesent"/>
    <x v="0"/>
  </r>
  <r>
    <n v="17260"/>
    <s v="Married"/>
    <x v="1"/>
    <n v="90000"/>
    <n v="5"/>
    <s v="Partial College"/>
    <s v="Professional"/>
    <s v="Yes"/>
    <n v="3"/>
    <s v="0-1 Miles"/>
    <s v="North America"/>
    <n v="41"/>
    <s v="Middle Age"/>
    <x v="0"/>
  </r>
  <r>
    <n v="15372"/>
    <s v="Married"/>
    <x v="1"/>
    <n v="80000"/>
    <n v="3"/>
    <s v="Partial College"/>
    <s v="Professional"/>
    <s v="No"/>
    <n v="2"/>
    <s v="2-5 Miles"/>
    <s v="North America"/>
    <n v="50"/>
    <s v="Middle Age"/>
    <x v="1"/>
  </r>
  <r>
    <n v="18105"/>
    <s v="Married"/>
    <x v="0"/>
    <n v="60000"/>
    <n v="2"/>
    <s v="Partial College"/>
    <s v="Professional"/>
    <s v="Yes"/>
    <n v="1"/>
    <s v="more than 10 miles"/>
    <s v="North America"/>
    <n v="55"/>
    <s v="Middle Age"/>
    <x v="0"/>
  </r>
  <r>
    <n v="19660"/>
    <s v="Married"/>
    <x v="1"/>
    <n v="80000"/>
    <n v="4"/>
    <s v="Bachelors"/>
    <s v="Management"/>
    <s v="Yes"/>
    <n v="0"/>
    <s v="0-1 Miles"/>
    <s v="North America"/>
    <n v="43"/>
    <s v="Middle Age"/>
    <x v="0"/>
  </r>
  <r>
    <n v="16112"/>
    <s v="Single"/>
    <x v="1"/>
    <n v="70000"/>
    <n v="4"/>
    <s v="Bachelors"/>
    <s v="Professional"/>
    <s v="Yes"/>
    <n v="2"/>
    <s v="2-5 Miles"/>
    <s v="North America"/>
    <n v="43"/>
    <s v="Middle Age"/>
    <x v="1"/>
  </r>
  <r>
    <n v="20698"/>
    <s v="Married"/>
    <x v="1"/>
    <n v="60000"/>
    <n v="4"/>
    <s v="Bachelors"/>
    <s v="Skilled Manual"/>
    <s v="Yes"/>
    <n v="3"/>
    <s v="5-10 Miles"/>
    <s v="North America"/>
    <n v="42"/>
    <s v="Middle Age"/>
    <x v="0"/>
  </r>
  <r>
    <n v="20076"/>
    <s v="Single"/>
    <x v="0"/>
    <n v="10000"/>
    <n v="2"/>
    <s v="High School"/>
    <s v="Manual"/>
    <s v="Yes"/>
    <n v="2"/>
    <s v="1-2 Miles"/>
    <s v="North America"/>
    <n v="53"/>
    <s v="Middle Age"/>
    <x v="1"/>
  </r>
  <r>
    <n v="24496"/>
    <s v="Single"/>
    <x v="0"/>
    <n v="40000"/>
    <n v="0"/>
    <s v="High School"/>
    <s v="Skilled Manual"/>
    <s v="No"/>
    <n v="2"/>
    <s v="0-1 Miles"/>
    <s v="North America"/>
    <n v="28"/>
    <s v="Adolesent"/>
    <x v="1"/>
  </r>
  <r>
    <n v="15468"/>
    <s v="Married"/>
    <x v="0"/>
    <n v="50000"/>
    <n v="1"/>
    <s v="Bachelors"/>
    <s v="Skilled Manual"/>
    <s v="Yes"/>
    <n v="1"/>
    <s v="0-1 Miles"/>
    <s v="North America"/>
    <n v="35"/>
    <s v="Middle Age"/>
    <x v="0"/>
  </r>
  <r>
    <n v="28031"/>
    <s v="Single"/>
    <x v="0"/>
    <n v="70000"/>
    <n v="2"/>
    <s v="Bachelors"/>
    <s v="Management"/>
    <s v="No"/>
    <n v="1"/>
    <s v="2-5 Miles"/>
    <s v="North America"/>
    <n v="59"/>
    <s v="OLD"/>
    <x v="1"/>
  </r>
  <r>
    <n v="26270"/>
    <s v="Single"/>
    <x v="0"/>
    <n v="20000"/>
    <n v="2"/>
    <s v="Partial High School"/>
    <s v="Clerical"/>
    <s v="Yes"/>
    <n v="2"/>
    <s v="1-2 Miles"/>
    <s v="North America"/>
    <n v="49"/>
    <s v="Middle Age"/>
    <x v="0"/>
  </r>
  <r>
    <n v="22221"/>
    <s v="Married"/>
    <x v="1"/>
    <n v="60000"/>
    <n v="2"/>
    <s v="High School"/>
    <s v="Professional"/>
    <s v="No"/>
    <n v="2"/>
    <s v="1-2 Miles"/>
    <s v="North America"/>
    <n v="48"/>
    <s v="Middle Age"/>
    <x v="1"/>
  </r>
  <r>
    <n v="28228"/>
    <s v="Single"/>
    <x v="0"/>
    <n v="80000"/>
    <n v="2"/>
    <s v="Partial High School"/>
    <s v="Skilled Manual"/>
    <s v="No"/>
    <n v="2"/>
    <s v="1-2 Miles"/>
    <s v="North America"/>
    <n v="50"/>
    <s v="Middle Age"/>
    <x v="0"/>
  </r>
  <r>
    <n v="18363"/>
    <s v="Married"/>
    <x v="1"/>
    <n v="40000"/>
    <n v="0"/>
    <s v="High School"/>
    <s v="Skilled Manual"/>
    <s v="Yes"/>
    <n v="2"/>
    <s v="5-10 Miles"/>
    <s v="North America"/>
    <n v="28"/>
    <s v="Adolesent"/>
    <x v="1"/>
  </r>
  <r>
    <n v="23256"/>
    <s v="Single"/>
    <x v="1"/>
    <n v="30000"/>
    <n v="1"/>
    <s v="High School"/>
    <s v="Clerical"/>
    <s v="No"/>
    <n v="1"/>
    <s v="5-10 Miles"/>
    <s v="North America"/>
    <n v="52"/>
    <s v="Middle Age"/>
    <x v="0"/>
  </r>
  <r>
    <n v="12768"/>
    <s v="Married"/>
    <x v="1"/>
    <n v="30000"/>
    <n v="1"/>
    <s v="High School"/>
    <s v="Clerical"/>
    <s v="Yes"/>
    <n v="1"/>
    <s v="2-5 Miles"/>
    <s v="North America"/>
    <n v="52"/>
    <s v="Middle Age"/>
    <x v="1"/>
  </r>
  <r>
    <n v="20361"/>
    <s v="Married"/>
    <x v="1"/>
    <n v="50000"/>
    <n v="2"/>
    <s v="Graduate Degree"/>
    <s v="Management"/>
    <s v="Yes"/>
    <n v="2"/>
    <s v="5-10 Miles"/>
    <s v="North America"/>
    <n v="69"/>
    <s v="OLD"/>
    <x v="0"/>
  </r>
  <r>
    <n v="21306"/>
    <s v="Single"/>
    <x v="1"/>
    <n v="60000"/>
    <n v="2"/>
    <s v="High School"/>
    <s v="Professional"/>
    <s v="Yes"/>
    <n v="2"/>
    <s v="5-10 Miles"/>
    <s v="North America"/>
    <n v="51"/>
    <s v="Middle Age"/>
    <x v="0"/>
  </r>
  <r>
    <n v="13382"/>
    <s v="Married"/>
    <x v="1"/>
    <n v="70000"/>
    <n v="5"/>
    <s v="Partial College"/>
    <s v="Professional"/>
    <s v="Yes"/>
    <n v="2"/>
    <s v="1-2 Miles"/>
    <s v="North America"/>
    <n v="57"/>
    <s v="OLD"/>
    <x v="1"/>
  </r>
  <r>
    <n v="20310"/>
    <s v="Single"/>
    <x v="1"/>
    <n v="60000"/>
    <n v="0"/>
    <s v="Partial College"/>
    <s v="Skilled Manual"/>
    <s v="Yes"/>
    <n v="1"/>
    <s v="5-10 Miles"/>
    <s v="North America"/>
    <n v="27"/>
    <s v="Adolesent"/>
    <x v="1"/>
  </r>
  <r>
    <n v="22971"/>
    <s v="Single"/>
    <x v="0"/>
    <n v="30000"/>
    <n v="0"/>
    <s v="High School"/>
    <s v="Skilled Manual"/>
    <s v="No"/>
    <n v="2"/>
    <s v="0-1 Miles"/>
    <s v="North America"/>
    <n v="25"/>
    <s v="Adolesent"/>
    <x v="1"/>
  </r>
  <r>
    <n v="15287"/>
    <s v="Single"/>
    <x v="0"/>
    <n v="50000"/>
    <n v="1"/>
    <s v="Graduate Degree"/>
    <s v="Skilled Manual"/>
    <s v="Yes"/>
    <n v="0"/>
    <s v="1-2 Miles"/>
    <s v="North America"/>
    <n v="33"/>
    <s v="Middle Age"/>
    <x v="1"/>
  </r>
  <r>
    <n v="15532"/>
    <s v="Single"/>
    <x v="1"/>
    <n v="60000"/>
    <n v="4"/>
    <s v="Bachelors"/>
    <s v="Professional"/>
    <s v="Yes"/>
    <n v="2"/>
    <s v="2-5 Miles"/>
    <s v="North America"/>
    <n v="43"/>
    <s v="Middle Age"/>
    <x v="1"/>
  </r>
  <r>
    <n v="11255"/>
    <s v="Married"/>
    <x v="1"/>
    <n v="70000"/>
    <n v="4"/>
    <s v="Graduate Degree"/>
    <s v="Management"/>
    <s v="Yes"/>
    <n v="2"/>
    <s v="5-10 Miles"/>
    <s v="North America"/>
    <n v="73"/>
    <s v="OLD"/>
    <x v="0"/>
  </r>
  <r>
    <n v="28090"/>
    <s v="Married"/>
    <x v="1"/>
    <n v="40000"/>
    <n v="0"/>
    <s v="Partial College"/>
    <s v="Skilled Manual"/>
    <s v="Yes"/>
    <n v="1"/>
    <s v="5-10 Miles"/>
    <s v="North America"/>
    <n v="27"/>
    <s v="Adolesent"/>
    <x v="0"/>
  </r>
  <r>
    <n v="15255"/>
    <s v="Married"/>
    <x v="1"/>
    <n v="40000"/>
    <n v="0"/>
    <s v="High School"/>
    <s v="Skilled Manual"/>
    <s v="Yes"/>
    <n v="2"/>
    <s v="5-10 Miles"/>
    <s v="North America"/>
    <n v="28"/>
    <s v="Adolesent"/>
    <x v="1"/>
  </r>
  <r>
    <n v="13154"/>
    <s v="Married"/>
    <x v="1"/>
    <n v="40000"/>
    <n v="0"/>
    <s v="High School"/>
    <s v="Skilled Manual"/>
    <s v="No"/>
    <n v="2"/>
    <s v="0-1 Miles"/>
    <s v="North America"/>
    <n v="27"/>
    <s v="Adolesent"/>
    <x v="1"/>
  </r>
  <r>
    <n v="26778"/>
    <s v="Single"/>
    <x v="0"/>
    <n v="40000"/>
    <n v="0"/>
    <s v="High School"/>
    <s v="Skilled Manual"/>
    <s v="Yes"/>
    <n v="2"/>
    <s v="5-10 Miles"/>
    <s v="North America"/>
    <n v="31"/>
    <s v="Middle Age"/>
    <x v="0"/>
  </r>
  <r>
    <n v="23248"/>
    <s v="Married"/>
    <x v="0"/>
    <n v="10000"/>
    <n v="2"/>
    <s v="High School"/>
    <s v="Manual"/>
    <s v="Yes"/>
    <n v="2"/>
    <s v="1-2 Miles"/>
    <s v="North America"/>
    <n v="53"/>
    <s v="Middle Age"/>
    <x v="0"/>
  </r>
  <r>
    <n v="21417"/>
    <s v="Single"/>
    <x v="0"/>
    <n v="60000"/>
    <n v="0"/>
    <s v="Partial College"/>
    <s v="Professional"/>
    <s v="No"/>
    <n v="2"/>
    <s v="1-2 Miles"/>
    <s v="North America"/>
    <n v="32"/>
    <s v="Middle Age"/>
    <x v="1"/>
  </r>
  <r>
    <n v="17668"/>
    <s v="Single"/>
    <x v="1"/>
    <n v="30000"/>
    <n v="2"/>
    <s v="High School"/>
    <s v="Skilled Manual"/>
    <s v="Yes"/>
    <n v="2"/>
    <s v="1-2 Miles"/>
    <s v="North America"/>
    <n v="50"/>
    <s v="Middle Age"/>
    <x v="1"/>
  </r>
  <r>
    <n v="27994"/>
    <s v="Married"/>
    <x v="0"/>
    <n v="40000"/>
    <n v="4"/>
    <s v="High School"/>
    <s v="Professional"/>
    <s v="Yes"/>
    <n v="2"/>
    <s v="5-10 Miles"/>
    <s v="North America"/>
    <n v="69"/>
    <s v="OLD"/>
    <x v="0"/>
  </r>
  <r>
    <n v="20376"/>
    <s v="Single"/>
    <x v="0"/>
    <n v="70000"/>
    <n v="3"/>
    <s v="Graduate Degree"/>
    <s v="Management"/>
    <s v="Yes"/>
    <n v="2"/>
    <s v="5-10 Miles"/>
    <s v="North America"/>
    <n v="52"/>
    <s v="Middle Age"/>
    <x v="1"/>
  </r>
  <r>
    <n v="25954"/>
    <s v="Married"/>
    <x v="1"/>
    <n v="60000"/>
    <n v="0"/>
    <s v="Partial College"/>
    <s v="Skilled Manual"/>
    <s v="No"/>
    <n v="2"/>
    <s v="1-2 Miles"/>
    <s v="North America"/>
    <n v="31"/>
    <s v="Middle Age"/>
    <x v="0"/>
  </r>
  <r>
    <n v="15749"/>
    <s v="Single"/>
    <x v="0"/>
    <n v="70000"/>
    <n v="4"/>
    <s v="Bachelors"/>
    <s v="Management"/>
    <s v="Yes"/>
    <n v="2"/>
    <s v="more than 10 miles"/>
    <s v="North America"/>
    <n v="61"/>
    <s v="OLD"/>
    <x v="0"/>
  </r>
  <r>
    <n v="25899"/>
    <s v="Married"/>
    <x v="0"/>
    <n v="70000"/>
    <n v="2"/>
    <s v="High School"/>
    <s v="Professional"/>
    <s v="Yes"/>
    <n v="2"/>
    <s v="more than 10 miles"/>
    <s v="North America"/>
    <n v="53"/>
    <s v="Middle Age"/>
    <x v="0"/>
  </r>
  <r>
    <n v="13351"/>
    <s v="Single"/>
    <x v="0"/>
    <n v="70000"/>
    <n v="4"/>
    <s v="Bachelors"/>
    <s v="Management"/>
    <s v="Yes"/>
    <n v="2"/>
    <s v="1-2 Miles"/>
    <s v="North America"/>
    <n v="62"/>
    <s v="OLD"/>
    <x v="1"/>
  </r>
  <r>
    <n v="23333"/>
    <s v="Married"/>
    <x v="1"/>
    <n v="40000"/>
    <n v="0"/>
    <s v="Partial College"/>
    <s v="Skilled Manual"/>
    <s v="No"/>
    <n v="2"/>
    <s v="1-2 Miles"/>
    <s v="North America"/>
    <n v="30"/>
    <s v="Adolesent"/>
    <x v="0"/>
  </r>
  <r>
    <n v="21660"/>
    <s v="Married"/>
    <x v="0"/>
    <n v="60000"/>
    <n v="3"/>
    <s v="Graduate Degree"/>
    <s v="Professional"/>
    <s v="Yes"/>
    <n v="0"/>
    <s v="2-5 Miles"/>
    <s v="North America"/>
    <n v="43"/>
    <s v="Middle Age"/>
    <x v="1"/>
  </r>
  <r>
    <n v="17012"/>
    <s v="Married"/>
    <x v="0"/>
    <n v="60000"/>
    <n v="3"/>
    <s v="Graduate Degree"/>
    <s v="Professional"/>
    <s v="Yes"/>
    <n v="0"/>
    <s v="2-5 Miles"/>
    <s v="North America"/>
    <n v="42"/>
    <s v="Middle Age"/>
    <x v="1"/>
  </r>
  <r>
    <n v="24514"/>
    <s v="Married"/>
    <x v="1"/>
    <n v="40000"/>
    <n v="0"/>
    <s v="Partial College"/>
    <s v="Skilled Manual"/>
    <s v="Yes"/>
    <n v="1"/>
    <s v="5-10 Miles"/>
    <s v="North America"/>
    <n v="30"/>
    <s v="Adolesent"/>
    <x v="0"/>
  </r>
  <r>
    <n v="27505"/>
    <s v="Single"/>
    <x v="0"/>
    <n v="40000"/>
    <n v="0"/>
    <s v="High School"/>
    <s v="Skilled Manual"/>
    <s v="Yes"/>
    <n v="2"/>
    <s v="5-10 Miles"/>
    <s v="North America"/>
    <n v="30"/>
    <s v="Adolesent"/>
    <x v="0"/>
  </r>
  <r>
    <n v="29243"/>
    <s v="Single"/>
    <x v="1"/>
    <n v="110000"/>
    <n v="1"/>
    <s v="Bachelors"/>
    <s v="Management"/>
    <s v="Yes"/>
    <n v="1"/>
    <s v="5-10 Miles"/>
    <s v="North America"/>
    <n v="43"/>
    <s v="Middle Age"/>
    <x v="0"/>
  </r>
  <r>
    <n v="26582"/>
    <s v="Married"/>
    <x v="1"/>
    <n v="60000"/>
    <n v="0"/>
    <s v="Partial College"/>
    <s v="Skilled Manual"/>
    <s v="Yes"/>
    <n v="2"/>
    <s v="5-10 Miles"/>
    <s v="North America"/>
    <n v="33"/>
    <s v="Middle Age"/>
    <x v="1"/>
  </r>
  <r>
    <n v="14271"/>
    <s v="Married"/>
    <x v="1"/>
    <n v="30000"/>
    <n v="0"/>
    <s v="High School"/>
    <s v="Skilled Manual"/>
    <s v="Yes"/>
    <n v="2"/>
    <s v="5-10 Miles"/>
    <s v="North America"/>
    <n v="32"/>
    <s v="Middle Age"/>
    <x v="0"/>
  </r>
  <r>
    <n v="23041"/>
    <s v="Single"/>
    <x v="0"/>
    <n v="70000"/>
    <n v="4"/>
    <s v="High School"/>
    <s v="Professional"/>
    <s v="Yes"/>
    <n v="0"/>
    <s v="5-10 Miles"/>
    <s v="North America"/>
    <n v="50"/>
    <s v="Middle Age"/>
    <x v="1"/>
  </r>
  <r>
    <n v="29048"/>
    <s v="Single"/>
    <x v="1"/>
    <n v="110000"/>
    <n v="2"/>
    <s v="Bachelors"/>
    <s v="Management"/>
    <s v="No"/>
    <n v="3"/>
    <s v="0-1 Miles"/>
    <s v="North America"/>
    <n v="37"/>
    <s v="Middle Age"/>
    <x v="1"/>
  </r>
  <r>
    <n v="24433"/>
    <s v="Married"/>
    <x v="1"/>
    <n v="70000"/>
    <n v="3"/>
    <s v="High School"/>
    <s v="Professional"/>
    <s v="No"/>
    <n v="1"/>
    <s v="1-2 Miles"/>
    <s v="North America"/>
    <n v="52"/>
    <s v="Middle Age"/>
    <x v="1"/>
  </r>
  <r>
    <n v="15501"/>
    <s v="Married"/>
    <x v="1"/>
    <n v="70000"/>
    <n v="4"/>
    <s v="Graduate Degree"/>
    <s v="Professional"/>
    <s v="Yes"/>
    <n v="0"/>
    <s v="2-5 Miles"/>
    <s v="North America"/>
    <n v="36"/>
    <s v="Middle Age"/>
    <x v="1"/>
  </r>
  <r>
    <n v="13911"/>
    <s v="Single"/>
    <x v="0"/>
    <n v="80000"/>
    <n v="3"/>
    <s v="Bachelors"/>
    <s v="Skilled Manual"/>
    <s v="Yes"/>
    <n v="2"/>
    <s v="2-5 Miles"/>
    <s v="North America"/>
    <n v="41"/>
    <s v="Middle Age"/>
    <x v="1"/>
  </r>
  <r>
    <n v="20421"/>
    <s v="Single"/>
    <x v="0"/>
    <n v="40000"/>
    <n v="0"/>
    <s v="Partial High School"/>
    <s v="Clerical"/>
    <s v="Yes"/>
    <n v="2"/>
    <s v="5-10 Miles"/>
    <s v="North America"/>
    <n v="26"/>
    <s v="Adolesent"/>
    <x v="0"/>
  </r>
  <r>
    <n v="16009"/>
    <s v="Single"/>
    <x v="1"/>
    <n v="170000"/>
    <n v="1"/>
    <s v="Graduate Degree"/>
    <s v="Management"/>
    <s v="No"/>
    <n v="4"/>
    <s v="0-1 Miles"/>
    <s v="North America"/>
    <n v="66"/>
    <s v="OLD"/>
    <x v="0"/>
  </r>
  <r>
    <n v="18411"/>
    <s v="Married"/>
    <x v="1"/>
    <n v="60000"/>
    <n v="2"/>
    <s v="High School"/>
    <s v="Professional"/>
    <s v="No"/>
    <n v="2"/>
    <s v="5-10 Miles"/>
    <s v="North America"/>
    <n v="51"/>
    <s v="Middle Age"/>
    <x v="0"/>
  </r>
  <r>
    <n v="19163"/>
    <s v="Married"/>
    <x v="0"/>
    <n v="70000"/>
    <n v="4"/>
    <s v="Bachelors"/>
    <s v="Professional"/>
    <s v="Yes"/>
    <n v="2"/>
    <s v="0-1 Miles"/>
    <s v="North America"/>
    <n v="43"/>
    <s v="Middle Age"/>
    <x v="1"/>
  </r>
  <r>
    <n v="18572"/>
    <s v="Married"/>
    <x v="0"/>
    <n v="60000"/>
    <n v="0"/>
    <s v="Graduate Degree"/>
    <s v="Professional"/>
    <s v="Yes"/>
    <n v="0"/>
    <s v="0-1 Miles"/>
    <s v="North America"/>
    <n v="39"/>
    <s v="Middle Age"/>
    <x v="0"/>
  </r>
  <r>
    <n v="27540"/>
    <s v="Single"/>
    <x v="0"/>
    <n v="70000"/>
    <n v="0"/>
    <s v="Bachelors"/>
    <s v="Professional"/>
    <s v="No"/>
    <n v="1"/>
    <s v="0-1 Miles"/>
    <s v="North America"/>
    <n v="37"/>
    <s v="Middle Age"/>
    <x v="1"/>
  </r>
  <r>
    <n v="19889"/>
    <s v="Single"/>
    <x v="0"/>
    <n v="70000"/>
    <n v="2"/>
    <s v="Partial High School"/>
    <s v="Skilled Manual"/>
    <s v="No"/>
    <n v="2"/>
    <s v="2-5 Miles"/>
    <s v="North America"/>
    <n v="54"/>
    <s v="Middle Age"/>
    <x v="1"/>
  </r>
  <r>
    <n v="12922"/>
    <s v="Single"/>
    <x v="0"/>
    <n v="60000"/>
    <n v="3"/>
    <s v="Bachelors"/>
    <s v="Skilled Manual"/>
    <s v="Yes"/>
    <n v="0"/>
    <s v="2-5 Miles"/>
    <s v="North America"/>
    <n v="40"/>
    <s v="Middle Age"/>
    <x v="1"/>
  </r>
  <r>
    <n v="18891"/>
    <s v="Married"/>
    <x v="0"/>
    <n v="40000"/>
    <n v="0"/>
    <s v="Partial College"/>
    <s v="Skilled Manual"/>
    <s v="Yes"/>
    <n v="2"/>
    <s v="5-10 Miles"/>
    <s v="North America"/>
    <n v="28"/>
    <s v="Adolesent"/>
    <x v="0"/>
  </r>
  <r>
    <n v="16773"/>
    <s v="Married"/>
    <x v="1"/>
    <n v="60000"/>
    <n v="1"/>
    <s v="Graduate Degree"/>
    <s v="Skilled Manual"/>
    <s v="Yes"/>
    <n v="0"/>
    <s v="0-1 Miles"/>
    <s v="North America"/>
    <n v="33"/>
    <s v="Middle Age"/>
    <x v="0"/>
  </r>
  <r>
    <n v="19143"/>
    <s v="Single"/>
    <x v="0"/>
    <n v="80000"/>
    <n v="3"/>
    <s v="Bachelors"/>
    <s v="Skilled Manual"/>
    <s v="Yes"/>
    <n v="2"/>
    <s v="2-5 Miles"/>
    <s v="North America"/>
    <n v="41"/>
    <s v="Middle Age"/>
    <x v="1"/>
  </r>
  <r>
    <n v="23882"/>
    <s v="Single"/>
    <x v="0"/>
    <n v="80000"/>
    <n v="3"/>
    <s v="Graduate Degree"/>
    <s v="Professional"/>
    <s v="Yes"/>
    <n v="0"/>
    <s v="0-1 Miles"/>
    <s v="North America"/>
    <n v="37"/>
    <s v="Middle Age"/>
    <x v="1"/>
  </r>
  <r>
    <n v="11233"/>
    <s v="Married"/>
    <x v="1"/>
    <n v="70000"/>
    <n v="4"/>
    <s v="Partial College"/>
    <s v="Professional"/>
    <s v="Yes"/>
    <n v="2"/>
    <s v="more than 10 miles"/>
    <s v="North America"/>
    <n v="53"/>
    <s v="Middle Age"/>
    <x v="0"/>
  </r>
  <r>
    <n v="12056"/>
    <s v="Married"/>
    <x v="1"/>
    <n v="120000"/>
    <n v="2"/>
    <s v="Graduate Degree"/>
    <s v="Management"/>
    <s v="Yes"/>
    <n v="3"/>
    <s v="5-10 Miles"/>
    <s v="North America"/>
    <n v="64"/>
    <s v="OLD"/>
    <x v="0"/>
  </r>
  <r>
    <n v="15555"/>
    <s v="Married"/>
    <x v="0"/>
    <n v="60000"/>
    <n v="1"/>
    <s v="Partial College"/>
    <s v="Skilled Manual"/>
    <s v="Yes"/>
    <n v="1"/>
    <s v="2-5 Miles"/>
    <s v="North America"/>
    <n v="45"/>
    <s v="Middle Age"/>
    <x v="1"/>
  </r>
  <r>
    <n v="18423"/>
    <s v="Single"/>
    <x v="1"/>
    <n v="80000"/>
    <n v="2"/>
    <s v="Partial High School"/>
    <s v="Skilled Manual"/>
    <s v="No"/>
    <n v="2"/>
    <s v="1-2 Miles"/>
    <s v="North America"/>
    <n v="52"/>
    <s v="Middle Age"/>
    <x v="0"/>
  </r>
  <r>
    <n v="22743"/>
    <s v="Married"/>
    <x v="0"/>
    <n v="40000"/>
    <n v="5"/>
    <s v="High School"/>
    <s v="Professional"/>
    <s v="Yes"/>
    <n v="2"/>
    <s v="more than 10 miles"/>
    <s v="North America"/>
    <n v="60"/>
    <s v="OLD"/>
    <x v="0"/>
  </r>
  <r>
    <n v="25343"/>
    <s v="Single"/>
    <x v="0"/>
    <n v="20000"/>
    <n v="3"/>
    <s v="Partial High School"/>
    <s v="Clerical"/>
    <s v="Yes"/>
    <n v="2"/>
    <s v="1-2 Miles"/>
    <s v="North America"/>
    <n v="50"/>
    <s v="Middle Age"/>
    <x v="0"/>
  </r>
  <r>
    <n v="13390"/>
    <s v="Married"/>
    <x v="0"/>
    <n v="70000"/>
    <n v="4"/>
    <s v="Partial College"/>
    <s v="Professional"/>
    <s v="No"/>
    <n v="1"/>
    <s v="1-2 Miles"/>
    <s v="North America"/>
    <n v="56"/>
    <s v="OLD"/>
    <x v="0"/>
  </r>
  <r>
    <n v="17482"/>
    <s v="Single"/>
    <x v="0"/>
    <n v="40000"/>
    <n v="0"/>
    <s v="Partial High School"/>
    <s v="Clerical"/>
    <s v="Yes"/>
    <n v="2"/>
    <s v="5-10 Miles"/>
    <s v="North America"/>
    <n v="29"/>
    <s v="Adolesent"/>
    <x v="0"/>
  </r>
  <r>
    <n v="13176"/>
    <s v="Single"/>
    <x v="1"/>
    <n v="130000"/>
    <n v="0"/>
    <s v="Graduate Degree"/>
    <s v="Management"/>
    <s v="No"/>
    <n v="2"/>
    <s v="0-1 Miles"/>
    <s v="North America"/>
    <n v="38"/>
    <s v="Middle Age"/>
    <x v="1"/>
  </r>
  <r>
    <n v="20504"/>
    <s v="Married"/>
    <x v="0"/>
    <n v="40000"/>
    <n v="5"/>
    <s v="High School"/>
    <s v="Professional"/>
    <s v="No"/>
    <n v="2"/>
    <s v="2-5 Miles"/>
    <s v="North America"/>
    <n v="60"/>
    <s v="OLD"/>
    <x v="0"/>
  </r>
  <r>
    <n v="12205"/>
    <s v="Single"/>
    <x v="0"/>
    <n v="130000"/>
    <n v="2"/>
    <s v="Bachelors"/>
    <s v="Management"/>
    <s v="No"/>
    <n v="4"/>
    <s v="0-1 Miles"/>
    <s v="North America"/>
    <n v="67"/>
    <s v="OLD"/>
    <x v="0"/>
  </r>
  <r>
    <n v="16751"/>
    <s v="Married"/>
    <x v="1"/>
    <n v="60000"/>
    <n v="0"/>
    <s v="Partial College"/>
    <s v="Skilled Manual"/>
    <s v="Yes"/>
    <n v="1"/>
    <s v="5-10 Miles"/>
    <s v="North America"/>
    <n v="32"/>
    <s v="Middle Age"/>
    <x v="1"/>
  </r>
  <r>
    <n v="21613"/>
    <s v="Single"/>
    <x v="1"/>
    <n v="50000"/>
    <n v="2"/>
    <s v="Bachelors"/>
    <s v="Skilled Manual"/>
    <s v="No"/>
    <n v="1"/>
    <s v="0-1 Miles"/>
    <s v="North America"/>
    <n v="39"/>
    <s v="Middle Age"/>
    <x v="1"/>
  </r>
  <r>
    <n v="24801"/>
    <s v="Single"/>
    <x v="1"/>
    <n v="60000"/>
    <n v="1"/>
    <s v="Graduate Degree"/>
    <s v="Professional"/>
    <s v="Yes"/>
    <n v="0"/>
    <s v="2-5 Miles"/>
    <s v="North America"/>
    <n v="35"/>
    <s v="Middle Age"/>
    <x v="1"/>
  </r>
  <r>
    <n v="17519"/>
    <s v="Married"/>
    <x v="0"/>
    <n v="60000"/>
    <n v="0"/>
    <s v="Partial College"/>
    <s v="Professional"/>
    <s v="Yes"/>
    <n v="2"/>
    <s v="5-10 Miles"/>
    <s v="North America"/>
    <n v="32"/>
    <s v="Middle Age"/>
    <x v="0"/>
  </r>
  <r>
    <n v="18347"/>
    <s v="Single"/>
    <x v="0"/>
    <n v="30000"/>
    <n v="0"/>
    <s v="Partial College"/>
    <s v="Skilled Manual"/>
    <s v="No"/>
    <n v="1"/>
    <s v="1-2 Miles"/>
    <s v="North America"/>
    <n v="31"/>
    <s v="Middle Age"/>
    <x v="0"/>
  </r>
  <r>
    <n v="29052"/>
    <s v="Single"/>
    <x v="1"/>
    <n v="40000"/>
    <n v="0"/>
    <s v="Partial College"/>
    <s v="Skilled Manual"/>
    <s v="Yes"/>
    <n v="1"/>
    <s v="5-10 Miles"/>
    <s v="North America"/>
    <n v="27"/>
    <s v="Adolesent"/>
    <x v="0"/>
  </r>
  <r>
    <n v="11745"/>
    <s v="Married"/>
    <x v="0"/>
    <n v="60000"/>
    <n v="1"/>
    <s v="Bachelors"/>
    <s v="Professional"/>
    <s v="Yes"/>
    <n v="1"/>
    <s v="0-1 Miles"/>
    <s v="North America"/>
    <n v="47"/>
    <s v="Middle Age"/>
    <x v="1"/>
  </r>
  <r>
    <n v="19147"/>
    <s v="Married"/>
    <x v="1"/>
    <n v="40000"/>
    <n v="0"/>
    <s v="Bachelors"/>
    <s v="Professional"/>
    <s v="No"/>
    <n v="1"/>
    <s v="0-1 Miles"/>
    <s v="North America"/>
    <n v="42"/>
    <s v="Middle Age"/>
    <x v="0"/>
  </r>
  <r>
    <n v="19217"/>
    <s v="Married"/>
    <x v="1"/>
    <n v="30000"/>
    <n v="2"/>
    <s v="High School"/>
    <s v="Skilled Manual"/>
    <s v="Yes"/>
    <n v="2"/>
    <s v="1-2 Miles"/>
    <s v="North America"/>
    <n v="49"/>
    <s v="Middle Age"/>
    <x v="0"/>
  </r>
  <r>
    <n v="15839"/>
    <s v="Single"/>
    <x v="1"/>
    <n v="30000"/>
    <n v="0"/>
    <s v="Partial College"/>
    <s v="Skilled Manual"/>
    <s v="Yes"/>
    <n v="1"/>
    <s v="5-10 Miles"/>
    <s v="North America"/>
    <n v="32"/>
    <s v="Middle Age"/>
    <x v="0"/>
  </r>
  <r>
    <n v="13714"/>
    <s v="Married"/>
    <x v="0"/>
    <n v="20000"/>
    <n v="2"/>
    <s v="High School"/>
    <s v="Manual"/>
    <s v="No"/>
    <n v="2"/>
    <s v="1-2 Miles"/>
    <s v="North America"/>
    <n v="53"/>
    <s v="Middle Age"/>
    <x v="1"/>
  </r>
  <r>
    <n v="22330"/>
    <s v="Married"/>
    <x v="1"/>
    <n v="50000"/>
    <n v="0"/>
    <s v="Graduate Degree"/>
    <s v="Skilled Manual"/>
    <s v="Yes"/>
    <n v="0"/>
    <s v="1-2 Miles"/>
    <s v="North America"/>
    <n v="32"/>
    <s v="Middle Age"/>
    <x v="1"/>
  </r>
  <r>
    <n v="18783"/>
    <s v="Single"/>
    <x v="1"/>
    <n v="80000"/>
    <n v="0"/>
    <s v="Bachelors"/>
    <s v="Management"/>
    <s v="No"/>
    <n v="1"/>
    <s v="0-1 Miles"/>
    <s v="North America"/>
    <n v="38"/>
    <s v="Middle Age"/>
    <x v="1"/>
  </r>
  <r>
    <n v="25041"/>
    <s v="Single"/>
    <x v="1"/>
    <n v="40000"/>
    <n v="0"/>
    <s v="High School"/>
    <s v="Skilled Manual"/>
    <s v="Yes"/>
    <n v="2"/>
    <s v="5-10 Miles"/>
    <s v="North America"/>
    <n v="31"/>
    <s v="Middle Age"/>
    <x v="0"/>
  </r>
  <r>
    <n v="22046"/>
    <s v="Single"/>
    <x v="0"/>
    <n v="80000"/>
    <n v="0"/>
    <s v="Bachelors"/>
    <s v="Management"/>
    <s v="No"/>
    <n v="1"/>
    <s v="0-1 Miles"/>
    <s v="North America"/>
    <n v="38"/>
    <s v="Middle Age"/>
    <x v="1"/>
  </r>
  <r>
    <n v="28052"/>
    <s v="Married"/>
    <x v="1"/>
    <n v="60000"/>
    <n v="2"/>
    <s v="High School"/>
    <s v="Professional"/>
    <s v="Yes"/>
    <n v="2"/>
    <s v="more than 10 miles"/>
    <s v="North America"/>
    <n v="55"/>
    <s v="Middle Age"/>
    <x v="0"/>
  </r>
  <r>
    <n v="26693"/>
    <s v="Married"/>
    <x v="1"/>
    <n v="70000"/>
    <n v="3"/>
    <s v="Partial College"/>
    <s v="Professional"/>
    <s v="Yes"/>
    <n v="1"/>
    <s v="5-10 Miles"/>
    <s v="North America"/>
    <n v="49"/>
    <s v="Middle Age"/>
    <x v="0"/>
  </r>
  <r>
    <n v="24955"/>
    <s v="Single"/>
    <x v="1"/>
    <n v="30000"/>
    <n v="5"/>
    <s v="Partial High School"/>
    <s v="Skilled Manual"/>
    <s v="Yes"/>
    <n v="3"/>
    <s v="more than 10 miles"/>
    <s v="North America"/>
    <n v="60"/>
    <s v="OLD"/>
    <x v="1"/>
  </r>
  <r>
    <n v="26065"/>
    <s v="Single"/>
    <x v="0"/>
    <n v="110000"/>
    <n v="3"/>
    <s v="Bachelors"/>
    <s v="Management"/>
    <s v="No"/>
    <n v="4"/>
    <s v="1-2 Miles"/>
    <s v="North America"/>
    <n v="42"/>
    <s v="Middle Age"/>
    <x v="0"/>
  </r>
  <r>
    <n v="13942"/>
    <s v="Married"/>
    <x v="1"/>
    <n v="60000"/>
    <n v="1"/>
    <s v="Partial College"/>
    <s v="Skilled Manual"/>
    <s v="Yes"/>
    <n v="1"/>
    <s v="0-1 Miles"/>
    <s v="North America"/>
    <n v="46"/>
    <s v="Middle Age"/>
    <x v="0"/>
  </r>
  <r>
    <n v="11219"/>
    <s v="Married"/>
    <x v="1"/>
    <n v="60000"/>
    <n v="2"/>
    <s v="High School"/>
    <s v="Professional"/>
    <s v="Yes"/>
    <n v="2"/>
    <s v="more than 10 miles"/>
    <s v="North America"/>
    <n v="55"/>
    <s v="Middle Age"/>
    <x v="0"/>
  </r>
  <r>
    <n v="22118"/>
    <s v="Single"/>
    <x v="0"/>
    <n v="70000"/>
    <n v="3"/>
    <s v="Graduate Degree"/>
    <s v="Management"/>
    <s v="Yes"/>
    <n v="2"/>
    <s v="5-10 Miles"/>
    <s v="North America"/>
    <n v="53"/>
    <s v="Middle Age"/>
    <x v="1"/>
  </r>
  <r>
    <n v="23197"/>
    <s v="Married"/>
    <x v="1"/>
    <n v="50000"/>
    <n v="3"/>
    <s v="Bachelors"/>
    <s v="Skilled Manual"/>
    <s v="Yes"/>
    <n v="2"/>
    <s v="2-5 Miles"/>
    <s v="North America"/>
    <n v="40"/>
    <s v="Middle Age"/>
    <x v="0"/>
  </r>
  <r>
    <n v="14883"/>
    <s v="Married"/>
    <x v="0"/>
    <n v="30000"/>
    <n v="1"/>
    <s v="Bachelors"/>
    <s v="Skilled Manual"/>
    <s v="Yes"/>
    <n v="1"/>
    <s v="5-10 Miles"/>
    <s v="North America"/>
    <n v="53"/>
    <s v="Middle Age"/>
    <x v="1"/>
  </r>
  <r>
    <n v="27279"/>
    <s v="Single"/>
    <x v="0"/>
    <n v="70000"/>
    <n v="2"/>
    <s v="Bachelors"/>
    <s v="Skilled Manual"/>
    <s v="Yes"/>
    <n v="0"/>
    <s v="2-5 Miles"/>
    <s v="North America"/>
    <n v="38"/>
    <s v="Middle Age"/>
    <x v="1"/>
  </r>
  <r>
    <n v="18322"/>
    <s v="Single"/>
    <x v="1"/>
    <n v="30000"/>
    <n v="0"/>
    <s v="Partial High School"/>
    <s v="Clerical"/>
    <s v="No"/>
    <n v="2"/>
    <s v="0-1 Miles"/>
    <s v="North America"/>
    <n v="26"/>
    <s v="Adolesent"/>
    <x v="0"/>
  </r>
  <r>
    <n v="15879"/>
    <s v="Married"/>
    <x v="1"/>
    <n v="70000"/>
    <n v="5"/>
    <s v="Bachelors"/>
    <s v="Management"/>
    <s v="Yes"/>
    <n v="2"/>
    <s v="2-5 Miles"/>
    <s v="North America"/>
    <n v="61"/>
    <s v="OLD"/>
    <x v="0"/>
  </r>
  <r>
    <n v="28278"/>
    <s v="Married"/>
    <x v="1"/>
    <n v="50000"/>
    <n v="2"/>
    <s v="Graduate Degree"/>
    <s v="Management"/>
    <s v="Yes"/>
    <n v="2"/>
    <s v="5-10 Miles"/>
    <s v="North America"/>
    <n v="71"/>
    <s v="OLD"/>
    <x v="0"/>
  </r>
  <r>
    <n v="24416"/>
    <s v="Married"/>
    <x v="1"/>
    <n v="90000"/>
    <n v="4"/>
    <s v="High School"/>
    <s v="Professional"/>
    <s v="Yes"/>
    <n v="2"/>
    <s v="1-2 Miles"/>
    <s v="North America"/>
    <n v="45"/>
    <s v="Middle Age"/>
    <x v="0"/>
  </r>
  <r>
    <n v="28066"/>
    <s v="Married"/>
    <x v="1"/>
    <n v="80000"/>
    <n v="2"/>
    <s v="Graduate Degree"/>
    <s v="Professional"/>
    <s v="Yes"/>
    <n v="0"/>
    <s v="0-1 Miles"/>
    <s v="North America"/>
    <n v="37"/>
    <s v="Middle Age"/>
    <x v="1"/>
  </r>
  <r>
    <n v="11275"/>
    <s v="Married"/>
    <x v="0"/>
    <n v="80000"/>
    <n v="4"/>
    <s v="Graduate Degree"/>
    <s v="Management"/>
    <s v="Yes"/>
    <n v="2"/>
    <s v="0-1 Miles"/>
    <s v="North America"/>
    <n v="72"/>
    <s v="OLD"/>
    <x v="1"/>
  </r>
  <r>
    <n v="14872"/>
    <s v="Married"/>
    <x v="1"/>
    <n v="30000"/>
    <n v="0"/>
    <s v="Graduate Degree"/>
    <s v="Skilled Manual"/>
    <s v="Yes"/>
    <n v="0"/>
    <s v="0-1 Miles"/>
    <s v="North America"/>
    <n v="32"/>
    <s v="Middle Age"/>
    <x v="0"/>
  </r>
  <r>
    <n v="16151"/>
    <s v="Married"/>
    <x v="0"/>
    <n v="60000"/>
    <n v="1"/>
    <s v="Bachelors"/>
    <s v="Professional"/>
    <s v="Yes"/>
    <n v="1"/>
    <s v="2-5 Miles"/>
    <s v="North America"/>
    <n v="48"/>
    <s v="Middle Age"/>
    <x v="1"/>
  </r>
  <r>
    <n v="19731"/>
    <s v="Married"/>
    <x v="1"/>
    <n v="80000"/>
    <n v="4"/>
    <s v="Graduate Degree"/>
    <s v="Management"/>
    <s v="Yes"/>
    <n v="2"/>
    <s v="5-10 Miles"/>
    <s v="North America"/>
    <n v="68"/>
    <s v="OLD"/>
    <x v="0"/>
  </r>
  <r>
    <n v="23801"/>
    <s v="Married"/>
    <x v="0"/>
    <n v="20000"/>
    <n v="2"/>
    <s v="Partial High School"/>
    <s v="Clerical"/>
    <s v="Yes"/>
    <n v="2"/>
    <s v="0-1 Miles"/>
    <s v="North America"/>
    <n v="49"/>
    <s v="Middle Age"/>
    <x v="0"/>
  </r>
  <r>
    <n v="11807"/>
    <s v="Married"/>
    <x v="1"/>
    <n v="70000"/>
    <n v="3"/>
    <s v="Graduate Degree"/>
    <s v="Professional"/>
    <s v="Yes"/>
    <n v="0"/>
    <s v="2-5 Miles"/>
    <s v="North America"/>
    <n v="34"/>
    <s v="Middle Age"/>
    <x v="0"/>
  </r>
  <r>
    <n v="11622"/>
    <s v="Married"/>
    <x v="1"/>
    <n v="50000"/>
    <n v="0"/>
    <s v="Graduate Degree"/>
    <s v="Skilled Manual"/>
    <s v="Yes"/>
    <n v="0"/>
    <s v="0-1 Miles"/>
    <s v="North America"/>
    <n v="32"/>
    <s v="Middle Age"/>
    <x v="0"/>
  </r>
  <r>
    <n v="26597"/>
    <s v="Single"/>
    <x v="0"/>
    <n v="60000"/>
    <n v="4"/>
    <s v="Bachelors"/>
    <s v="Skilled Manual"/>
    <s v="No"/>
    <n v="2"/>
    <s v="0-1 Miles"/>
    <s v="North America"/>
    <n v="42"/>
    <s v="Middle Age"/>
    <x v="0"/>
  </r>
  <r>
    <n v="27074"/>
    <s v="Married"/>
    <x v="0"/>
    <n v="70000"/>
    <n v="1"/>
    <s v="Graduate Degree"/>
    <s v="Skilled Manual"/>
    <s v="Yes"/>
    <n v="0"/>
    <s v="0-1 Miles"/>
    <s v="North America"/>
    <n v="35"/>
    <s v="Middle Age"/>
    <x v="1"/>
  </r>
  <r>
    <n v="19228"/>
    <s v="Married"/>
    <x v="0"/>
    <n v="40000"/>
    <n v="2"/>
    <s v="Partial College"/>
    <s v="Clerical"/>
    <s v="Yes"/>
    <n v="1"/>
    <s v="0-1 Miles"/>
    <s v="North America"/>
    <n v="48"/>
    <s v="Middle Age"/>
    <x v="0"/>
  </r>
  <r>
    <n v="13415"/>
    <s v="Single"/>
    <x v="1"/>
    <n v="100000"/>
    <n v="1"/>
    <s v="Graduate Degree"/>
    <s v="Management"/>
    <s v="Yes"/>
    <n v="3"/>
    <s v="2-5 Miles"/>
    <s v="North America"/>
    <n v="73"/>
    <s v="OLD"/>
    <x v="1"/>
  </r>
  <r>
    <n v="17000"/>
    <s v="Single"/>
    <x v="0"/>
    <n v="70000"/>
    <n v="4"/>
    <s v="Bachelors"/>
    <s v="Skilled Manual"/>
    <s v="Yes"/>
    <n v="2"/>
    <s v="2-5 Miles"/>
    <s v="North America"/>
    <n v="43"/>
    <s v="Middle Age"/>
    <x v="1"/>
  </r>
  <r>
    <n v="14569"/>
    <s v="Married"/>
    <x v="1"/>
    <n v="60000"/>
    <n v="1"/>
    <s v="Graduate Degree"/>
    <s v="Professional"/>
    <s v="Yes"/>
    <n v="0"/>
    <s v="0-1 Miles"/>
    <s v="North America"/>
    <n v="35"/>
    <s v="Middle Age"/>
    <x v="0"/>
  </r>
  <r>
    <n v="13873"/>
    <s v="Married"/>
    <x v="1"/>
    <n v="70000"/>
    <n v="3"/>
    <s v="Graduate Degree"/>
    <s v="Professional"/>
    <s v="Yes"/>
    <n v="0"/>
    <s v="0-1 Miles"/>
    <s v="North America"/>
    <n v="35"/>
    <s v="Middle Age"/>
    <x v="1"/>
  </r>
  <r>
    <n v="20401"/>
    <s v="Married"/>
    <x v="0"/>
    <n v="50000"/>
    <n v="4"/>
    <s v="Bachelors"/>
    <s v="Management"/>
    <s v="Yes"/>
    <n v="2"/>
    <s v="1-2 Miles"/>
    <s v="North America"/>
    <n v="64"/>
    <s v="OLD"/>
    <x v="1"/>
  </r>
  <r>
    <n v="21583"/>
    <s v="Married"/>
    <x v="0"/>
    <n v="50000"/>
    <n v="1"/>
    <s v="Bachelors"/>
    <s v="Skilled Manual"/>
    <s v="Yes"/>
    <n v="0"/>
    <s v="0-1 Miles"/>
    <s v="North America"/>
    <n v="34"/>
    <s v="Middle Age"/>
    <x v="1"/>
  </r>
  <r>
    <n v="12029"/>
    <s v="Married"/>
    <x v="1"/>
    <n v="30000"/>
    <n v="0"/>
    <s v="Partial High School"/>
    <s v="Clerical"/>
    <s v="No"/>
    <n v="2"/>
    <s v="0-1 Miles"/>
    <s v="North America"/>
    <n v="28"/>
    <s v="Adolesent"/>
    <x v="0"/>
  </r>
  <r>
    <n v="18066"/>
    <s v="Single"/>
    <x v="1"/>
    <n v="70000"/>
    <n v="5"/>
    <s v="Bachelors"/>
    <s v="Management"/>
    <s v="Yes"/>
    <n v="3"/>
    <s v="more than 10 miles"/>
    <s v="North America"/>
    <n v="60"/>
    <s v="OLD"/>
    <x v="1"/>
  </r>
  <r>
    <n v="28192"/>
    <s v="Married"/>
    <x v="0"/>
    <n v="70000"/>
    <n v="5"/>
    <s v="Graduate Degree"/>
    <s v="Professional"/>
    <s v="Yes"/>
    <n v="3"/>
    <s v="more than 10 miles"/>
    <s v="North America"/>
    <n v="46"/>
    <s v="Middle Age"/>
    <x v="0"/>
  </r>
  <r>
    <n v="16122"/>
    <s v="Married"/>
    <x v="1"/>
    <n v="40000"/>
    <n v="4"/>
    <s v="High School"/>
    <s v="Skilled Manual"/>
    <s v="Yes"/>
    <n v="2"/>
    <s v="0-1 Miles"/>
    <s v="North America"/>
    <n v="44"/>
    <s v="Middle Age"/>
    <x v="1"/>
  </r>
  <r>
    <n v="18607"/>
    <s v="Single"/>
    <x v="0"/>
    <n v="60000"/>
    <n v="4"/>
    <s v="Bachelors"/>
    <s v="Skilled Manual"/>
    <s v="Yes"/>
    <n v="2"/>
    <s v="2-5 Miles"/>
    <s v="North America"/>
    <n v="42"/>
    <s v="Middle Age"/>
    <x v="1"/>
  </r>
  <r>
    <n v="28858"/>
    <s v="Single"/>
    <x v="1"/>
    <n v="80000"/>
    <n v="3"/>
    <s v="Bachelors"/>
    <s v="Skilled Manual"/>
    <s v="Yes"/>
    <n v="0"/>
    <s v="2-5 Miles"/>
    <s v="North America"/>
    <n v="40"/>
    <s v="Middle Age"/>
    <x v="0"/>
  </r>
  <r>
    <n v="14432"/>
    <s v="Single"/>
    <x v="1"/>
    <n v="90000"/>
    <n v="4"/>
    <s v="Graduate Degree"/>
    <s v="Management"/>
    <s v="Yes"/>
    <n v="1"/>
    <s v="5-10 Miles"/>
    <s v="North America"/>
    <n v="73"/>
    <s v="OLD"/>
    <x v="0"/>
  </r>
  <r>
    <n v="26305"/>
    <s v="Single"/>
    <x v="0"/>
    <n v="60000"/>
    <n v="2"/>
    <s v="Bachelors"/>
    <s v="Skilled Manual"/>
    <s v="No"/>
    <n v="0"/>
    <s v="0-1 Miles"/>
    <s v="North America"/>
    <n v="36"/>
    <s v="Middle Age"/>
    <x v="1"/>
  </r>
  <r>
    <n v="22050"/>
    <s v="Single"/>
    <x v="1"/>
    <n v="90000"/>
    <n v="4"/>
    <s v="Bachelors"/>
    <s v="Management"/>
    <s v="Yes"/>
    <n v="1"/>
    <s v="1-2 Miles"/>
    <s v="North America"/>
    <n v="38"/>
    <s v="Middle Age"/>
    <x v="1"/>
  </r>
  <r>
    <n v="25394"/>
    <s v="Married"/>
    <x v="1"/>
    <n v="60000"/>
    <n v="1"/>
    <s v="Graduate Degree"/>
    <s v="Professional"/>
    <s v="Yes"/>
    <n v="0"/>
    <s v="2-5 Miles"/>
    <s v="North America"/>
    <n v="34"/>
    <s v="Middle Age"/>
    <x v="1"/>
  </r>
  <r>
    <n v="19747"/>
    <s v="Married"/>
    <x v="1"/>
    <n v="50000"/>
    <n v="4"/>
    <s v="Bachelors"/>
    <s v="Management"/>
    <s v="Yes"/>
    <n v="2"/>
    <s v="more than 10 miles"/>
    <s v="North America"/>
    <n v="63"/>
    <s v="OLD"/>
    <x v="0"/>
  </r>
  <r>
    <n v="23195"/>
    <s v="Single"/>
    <x v="1"/>
    <n v="50000"/>
    <n v="3"/>
    <s v="Bachelors"/>
    <s v="Skilled Manual"/>
    <s v="Yes"/>
    <n v="2"/>
    <s v="2-5 Miles"/>
    <s v="North America"/>
    <n v="41"/>
    <s v="Middle Age"/>
    <x v="1"/>
  </r>
  <r>
    <n v="21695"/>
    <s v="Married"/>
    <x v="1"/>
    <n v="60000"/>
    <n v="0"/>
    <s v="Graduate Degree"/>
    <s v="Skilled Manual"/>
    <s v="Yes"/>
    <n v="0"/>
    <s v="1-2 Miles"/>
    <s v="North America"/>
    <n v="39"/>
    <s v="Middle Age"/>
    <x v="1"/>
  </r>
  <r>
    <n v="13934"/>
    <s v="Married"/>
    <x v="1"/>
    <n v="40000"/>
    <n v="4"/>
    <s v="High School"/>
    <s v="Skilled Manual"/>
    <s v="Yes"/>
    <n v="2"/>
    <s v="2-5 Miles"/>
    <s v="North America"/>
    <n v="46"/>
    <s v="Middle Age"/>
    <x v="0"/>
  </r>
  <r>
    <n v="13337"/>
    <s v="Married"/>
    <x v="0"/>
    <n v="80000"/>
    <n v="5"/>
    <s v="Bachelors"/>
    <s v="Management"/>
    <s v="Yes"/>
    <n v="2"/>
    <s v="5-10 Miles"/>
    <s v="North America"/>
    <n v="64"/>
    <s v="OLD"/>
    <x v="0"/>
  </r>
  <r>
    <n v="27190"/>
    <s v="Married"/>
    <x v="0"/>
    <n v="40000"/>
    <n v="3"/>
    <s v="Partial College"/>
    <s v="Clerical"/>
    <s v="Yes"/>
    <n v="1"/>
    <s v="1-2 Miles"/>
    <s v="North America"/>
    <n v="32"/>
    <s v="Middle Age"/>
    <x v="0"/>
  </r>
  <r>
    <n v="28657"/>
    <s v="Single"/>
    <x v="1"/>
    <n v="60000"/>
    <n v="2"/>
    <s v="Bachelors"/>
    <s v="Skilled Manual"/>
    <s v="Yes"/>
    <n v="0"/>
    <s v="2-5 Miles"/>
    <s v="North America"/>
    <n v="36"/>
    <s v="Middle Age"/>
    <x v="1"/>
  </r>
  <r>
    <n v="21713"/>
    <s v="Single"/>
    <x v="1"/>
    <n v="80000"/>
    <n v="5"/>
    <s v="Graduate Degree"/>
    <s v="Skilled Manual"/>
    <s v="No"/>
    <n v="0"/>
    <s v="0-1 Miles"/>
    <s v="North America"/>
    <n v="47"/>
    <s v="Middle Age"/>
    <x v="0"/>
  </r>
  <r>
    <n v="21752"/>
    <s v="Married"/>
    <x v="1"/>
    <n v="60000"/>
    <n v="3"/>
    <s v="Graduate Degree"/>
    <s v="Management"/>
    <s v="Yes"/>
    <n v="2"/>
    <s v="more than 10 miles"/>
    <s v="North America"/>
    <n v="64"/>
    <s v="OLD"/>
    <x v="0"/>
  </r>
  <r>
    <n v="27273"/>
    <s v="Single"/>
    <x v="1"/>
    <n v="70000"/>
    <n v="3"/>
    <s v="Graduate Degree"/>
    <s v="Professional"/>
    <s v="No"/>
    <n v="0"/>
    <s v="0-1 Miles"/>
    <s v="North America"/>
    <n v="35"/>
    <s v="Middle Age"/>
    <x v="1"/>
  </r>
  <r>
    <n v="22719"/>
    <s v="Single"/>
    <x v="1"/>
    <n v="110000"/>
    <n v="3"/>
    <s v="Bachelors"/>
    <s v="Management"/>
    <s v="Yes"/>
    <n v="4"/>
    <s v="2-5 Miles"/>
    <s v="North America"/>
    <n v="40"/>
    <s v="Middle Age"/>
    <x v="1"/>
  </r>
  <r>
    <n v="22042"/>
    <s v="Married"/>
    <x v="0"/>
    <n v="70000"/>
    <n v="0"/>
    <s v="Partial College"/>
    <s v="Skilled Manual"/>
    <s v="Yes"/>
    <n v="2"/>
    <s v="5-10 Miles"/>
    <s v="North America"/>
    <n v="34"/>
    <s v="Middle Age"/>
    <x v="1"/>
  </r>
  <r>
    <n v="21451"/>
    <s v="Married"/>
    <x v="0"/>
    <n v="40000"/>
    <n v="4"/>
    <s v="High School"/>
    <s v="Professional"/>
    <s v="Yes"/>
    <n v="2"/>
    <s v="more than 10 miles"/>
    <s v="North America"/>
    <n v="61"/>
    <s v="OLD"/>
    <x v="0"/>
  </r>
  <r>
    <n v="20754"/>
    <s v="Married"/>
    <x v="1"/>
    <n v="30000"/>
    <n v="2"/>
    <s v="High School"/>
    <s v="Skilled Manual"/>
    <s v="Yes"/>
    <n v="2"/>
    <s v="1-2 Miles"/>
    <s v="North America"/>
    <n v="51"/>
    <s v="Middle Age"/>
    <x v="0"/>
  </r>
  <r>
    <n v="12153"/>
    <s v="Single"/>
    <x v="0"/>
    <n v="70000"/>
    <n v="3"/>
    <s v="Partial College"/>
    <s v="Professional"/>
    <s v="Yes"/>
    <n v="1"/>
    <s v="5-10 Miles"/>
    <s v="North America"/>
    <n v="49"/>
    <s v="Middle Age"/>
    <x v="1"/>
  </r>
  <r>
    <n v="16895"/>
    <s v="Married"/>
    <x v="0"/>
    <n v="40000"/>
    <n v="3"/>
    <s v="Partial College"/>
    <s v="Professional"/>
    <s v="No"/>
    <n v="2"/>
    <s v="1-2 Miles"/>
    <s v="North America"/>
    <n v="54"/>
    <s v="Middle Age"/>
    <x v="1"/>
  </r>
  <r>
    <n v="26728"/>
    <s v="Single"/>
    <x v="1"/>
    <n v="70000"/>
    <n v="3"/>
    <s v="Graduate Degree"/>
    <s v="Management"/>
    <s v="No"/>
    <n v="2"/>
    <s v="1-2 Miles"/>
    <s v="North America"/>
    <n v="53"/>
    <s v="Middle Age"/>
    <x v="1"/>
  </r>
  <r>
    <n v="11090"/>
    <s v="Single"/>
    <x v="1"/>
    <n v="90000"/>
    <n v="2"/>
    <s v="Partial College"/>
    <s v="Professional"/>
    <s v="Yes"/>
    <n v="1"/>
    <s v="2-5 Miles"/>
    <s v="North America"/>
    <n v="48"/>
    <s v="Middle Age"/>
    <x v="1"/>
  </r>
  <r>
    <n v="15862"/>
    <s v="Single"/>
    <x v="0"/>
    <n v="50000"/>
    <n v="0"/>
    <s v="Graduate Degree"/>
    <s v="Skilled Manual"/>
    <s v="Yes"/>
    <n v="0"/>
    <s v="1-2 Miles"/>
    <s v="North America"/>
    <n v="33"/>
    <s v="Middle Age"/>
    <x v="1"/>
  </r>
  <r>
    <n v="26495"/>
    <s v="Single"/>
    <x v="0"/>
    <n v="40000"/>
    <n v="2"/>
    <s v="High School"/>
    <s v="Professional"/>
    <s v="Yes"/>
    <n v="2"/>
    <s v="more than 10 miles"/>
    <s v="North America"/>
    <n v="57"/>
    <s v="OLD"/>
    <x v="0"/>
  </r>
  <r>
    <n v="11823"/>
    <s v="Married"/>
    <x v="0"/>
    <n v="70000"/>
    <n v="0"/>
    <s v="Graduate Degree"/>
    <s v="Professional"/>
    <s v="Yes"/>
    <n v="0"/>
    <s v="2-5 Miles"/>
    <s v="North America"/>
    <n v="39"/>
    <s v="Middle Age"/>
    <x v="0"/>
  </r>
  <r>
    <n v="23449"/>
    <s v="Married"/>
    <x v="1"/>
    <n v="60000"/>
    <n v="2"/>
    <s v="High School"/>
    <s v="Professional"/>
    <s v="Yes"/>
    <n v="2"/>
    <s v="5-10 Miles"/>
    <s v="North America"/>
    <n v="48"/>
    <s v="Middle Age"/>
    <x v="0"/>
  </r>
  <r>
    <n v="23459"/>
    <s v="Married"/>
    <x v="1"/>
    <n v="60000"/>
    <n v="2"/>
    <s v="High School"/>
    <s v="Professional"/>
    <s v="Yes"/>
    <n v="2"/>
    <s v="5-10 Miles"/>
    <s v="North America"/>
    <n v="50"/>
    <s v="Middle Age"/>
    <x v="0"/>
  </r>
  <r>
    <n v="19543"/>
    <s v="Married"/>
    <x v="1"/>
    <n v="70000"/>
    <n v="5"/>
    <s v="Graduate Degree"/>
    <s v="Professional"/>
    <s v="No"/>
    <n v="3"/>
    <s v="more than 10 miles"/>
    <s v="North America"/>
    <n v="47"/>
    <s v="Middle Age"/>
    <x v="0"/>
  </r>
  <r>
    <n v="14914"/>
    <s v="Married"/>
    <x v="0"/>
    <n v="40000"/>
    <n v="1"/>
    <s v="Partial College"/>
    <s v="Clerical"/>
    <s v="Yes"/>
    <n v="1"/>
    <s v="1-2 Miles"/>
    <s v="North America"/>
    <n v="49"/>
    <s v="Middle Age"/>
    <x v="1"/>
  </r>
  <r>
    <n v="12033"/>
    <s v="Single"/>
    <x v="0"/>
    <n v="40000"/>
    <n v="0"/>
    <s v="High School"/>
    <s v="Skilled Manual"/>
    <s v="No"/>
    <n v="2"/>
    <s v="0-1 Miles"/>
    <s v="North America"/>
    <n v="27"/>
    <s v="Adolesent"/>
    <x v="1"/>
  </r>
  <r>
    <n v="11941"/>
    <s v="Single"/>
    <x v="1"/>
    <n v="60000"/>
    <n v="0"/>
    <s v="Partial College"/>
    <s v="Skilled Manual"/>
    <s v="Yes"/>
    <n v="0"/>
    <s v="5-10 Miles"/>
    <s v="North America"/>
    <n v="29"/>
    <s v="Adolesent"/>
    <x v="0"/>
  </r>
  <r>
    <n v="14389"/>
    <s v="Married"/>
    <x v="1"/>
    <n v="60000"/>
    <n v="2"/>
    <s v="Bachelors"/>
    <s v="Management"/>
    <s v="Yes"/>
    <n v="0"/>
    <s v="2-5 Miles"/>
    <s v="North America"/>
    <n v="59"/>
    <s v="OLD"/>
    <x v="0"/>
  </r>
  <r>
    <n v="18050"/>
    <s v="Married"/>
    <x v="0"/>
    <n v="60000"/>
    <n v="1"/>
    <s v="Partial College"/>
    <s v="Skilled Manual"/>
    <s v="Yes"/>
    <n v="1"/>
    <s v="0-1 Miles"/>
    <s v="North America"/>
    <n v="45"/>
    <s v="Middle Age"/>
    <x v="1"/>
  </r>
  <r>
    <n v="19856"/>
    <s v="Married"/>
    <x v="0"/>
    <n v="60000"/>
    <n v="4"/>
    <s v="Bachelors"/>
    <s v="Management"/>
    <s v="Yes"/>
    <n v="2"/>
    <s v="2-5 Miles"/>
    <s v="North America"/>
    <n v="60"/>
    <s v="OLD"/>
    <x v="0"/>
  </r>
  <r>
    <n v="11663"/>
    <s v="Married"/>
    <x v="1"/>
    <n v="70000"/>
    <n v="4"/>
    <s v="Graduate Degree"/>
    <s v="Professional"/>
    <s v="Yes"/>
    <n v="0"/>
    <s v="0-1 Miles"/>
    <s v="North America"/>
    <n v="36"/>
    <s v="Middle Age"/>
    <x v="1"/>
  </r>
  <r>
    <n v="27740"/>
    <s v="Married"/>
    <x v="0"/>
    <n v="40000"/>
    <n v="0"/>
    <s v="High School"/>
    <s v="Skilled Manual"/>
    <s v="Yes"/>
    <n v="2"/>
    <s v="5-10 Miles"/>
    <s v="North America"/>
    <n v="27"/>
    <s v="Adolesent"/>
    <x v="0"/>
  </r>
  <r>
    <n v="23455"/>
    <s v="Single"/>
    <x v="1"/>
    <n v="80000"/>
    <n v="2"/>
    <s v="Partial High School"/>
    <s v="Skilled Manual"/>
    <s v="No"/>
    <n v="2"/>
    <s v="1-2 Miles"/>
    <s v="North America"/>
    <n v="50"/>
    <s v="Middle Age"/>
    <x v="0"/>
  </r>
  <r>
    <n v="15292"/>
    <s v="Single"/>
    <x v="0"/>
    <n v="60000"/>
    <n v="1"/>
    <s v="Graduate Degree"/>
    <s v="Skilled Manual"/>
    <s v="Yes"/>
    <n v="0"/>
    <s v="1-2 Miles"/>
    <s v="North America"/>
    <n v="35"/>
    <s v="Middle Age"/>
    <x v="0"/>
  </r>
  <r>
    <n v="21587"/>
    <s v="Married"/>
    <x v="0"/>
    <n v="60000"/>
    <n v="1"/>
    <s v="Graduate Degree"/>
    <s v="Skilled Manual"/>
    <s v="Yes"/>
    <n v="0"/>
    <s v="2-5 Miles"/>
    <s v="North America"/>
    <n v="34"/>
    <s v="Middle Age"/>
    <x v="1"/>
  </r>
  <r>
    <n v="23513"/>
    <s v="Married"/>
    <x v="0"/>
    <n v="40000"/>
    <n v="3"/>
    <s v="Partial College"/>
    <s v="Professional"/>
    <s v="Yes"/>
    <n v="2"/>
    <s v="5-10 Miles"/>
    <s v="North America"/>
    <n v="54"/>
    <s v="Middle Age"/>
    <x v="0"/>
  </r>
  <r>
    <n v="24322"/>
    <s v="Married"/>
    <x v="0"/>
    <n v="60000"/>
    <n v="4"/>
    <s v="Bachelors"/>
    <s v="Skilled Manual"/>
    <s v="No"/>
    <n v="2"/>
    <s v="0-1 Miles"/>
    <s v="North America"/>
    <n v="42"/>
    <s v="Middle Age"/>
    <x v="0"/>
  </r>
  <r>
    <n v="26298"/>
    <s v="Married"/>
    <x v="0"/>
    <n v="50000"/>
    <n v="1"/>
    <s v="Bachelors"/>
    <s v="Skilled Manual"/>
    <s v="Yes"/>
    <n v="0"/>
    <s v="2-5 Miles"/>
    <s v="North America"/>
    <n v="34"/>
    <s v="Middle Age"/>
    <x v="1"/>
  </r>
  <r>
    <n v="25419"/>
    <s v="Single"/>
    <x v="1"/>
    <n v="50000"/>
    <n v="2"/>
    <s v="Bachelors"/>
    <s v="Skilled Manual"/>
    <s v="No"/>
    <n v="1"/>
    <s v="0-1 Miles"/>
    <s v="North America"/>
    <n v="38"/>
    <s v="Middle Age"/>
    <x v="1"/>
  </r>
  <r>
    <n v="13343"/>
    <s v="Married"/>
    <x v="0"/>
    <n v="90000"/>
    <n v="5"/>
    <s v="Bachelors"/>
    <s v="Management"/>
    <s v="Yes"/>
    <n v="2"/>
    <s v="1-2 Miles"/>
    <s v="North America"/>
    <n v="63"/>
    <s v="OLD"/>
    <x v="1"/>
  </r>
  <r>
    <n v="11303"/>
    <s v="Single"/>
    <x v="0"/>
    <n v="90000"/>
    <n v="4"/>
    <s v="High School"/>
    <s v="Professional"/>
    <s v="No"/>
    <n v="3"/>
    <s v="1-2 Miles"/>
    <s v="North America"/>
    <n v="45"/>
    <s v="Middle Age"/>
    <x v="1"/>
  </r>
  <r>
    <n v="21693"/>
    <s v="Single"/>
    <x v="0"/>
    <n v="60000"/>
    <n v="0"/>
    <s v="Graduate Degree"/>
    <s v="Skilled Manual"/>
    <s v="No"/>
    <n v="0"/>
    <s v="0-1 Miles"/>
    <s v="North America"/>
    <n v="40"/>
    <s v="Middle Age"/>
    <x v="0"/>
  </r>
  <r>
    <n v="28056"/>
    <s v="Married"/>
    <x v="1"/>
    <n v="70000"/>
    <n v="2"/>
    <s v="Partial High School"/>
    <s v="Skilled Manual"/>
    <s v="Yes"/>
    <n v="2"/>
    <s v="more than 10 miles"/>
    <s v="North America"/>
    <n v="53"/>
    <s v="Middle Age"/>
    <x v="0"/>
  </r>
  <r>
    <n v="11788"/>
    <s v="Single"/>
    <x v="0"/>
    <n v="70000"/>
    <n v="1"/>
    <s v="Graduate Degree"/>
    <s v="Professional"/>
    <s v="Yes"/>
    <n v="0"/>
    <s v="2-5 Miles"/>
    <s v="North America"/>
    <n v="34"/>
    <s v="Middle Age"/>
    <x v="0"/>
  </r>
  <r>
    <n v="22296"/>
    <s v="Married"/>
    <x v="1"/>
    <n v="70000"/>
    <n v="0"/>
    <s v="Bachelors"/>
    <s v="Professional"/>
    <s v="No"/>
    <n v="1"/>
    <s v="0-1 Miles"/>
    <s v="North America"/>
    <n v="38"/>
    <s v="Middle Age"/>
    <x v="0"/>
  </r>
  <r>
    <n v="15319"/>
    <s v="Married"/>
    <x v="0"/>
    <n v="70000"/>
    <n v="4"/>
    <s v="Bachelors"/>
    <s v="Management"/>
    <s v="No"/>
    <n v="1"/>
    <s v="1-2 Miles"/>
    <s v="North America"/>
    <n v="59"/>
    <s v="OLD"/>
    <x v="0"/>
  </r>
  <r>
    <n v="17654"/>
    <s v="Single"/>
    <x v="0"/>
    <n v="40000"/>
    <n v="3"/>
    <s v="Partial College"/>
    <s v="Clerical"/>
    <s v="Yes"/>
    <n v="1"/>
    <s v="1-2 Miles"/>
    <s v="North America"/>
    <n v="30"/>
    <s v="Adolesent"/>
    <x v="1"/>
  </r>
  <r>
    <n v="14662"/>
    <s v="Married"/>
    <x v="1"/>
    <n v="60000"/>
    <n v="1"/>
    <s v="Bachelors"/>
    <s v="Professional"/>
    <s v="Yes"/>
    <n v="1"/>
    <s v="0-1 Miles"/>
    <s v="North America"/>
    <n v="48"/>
    <s v="Middle Age"/>
    <x v="1"/>
  </r>
  <r>
    <n v="17541"/>
    <s v="Married"/>
    <x v="0"/>
    <n v="40000"/>
    <n v="4"/>
    <s v="High School"/>
    <s v="Skilled Manual"/>
    <s v="Yes"/>
    <n v="2"/>
    <s v="2-5 Miles"/>
    <s v="North America"/>
    <n v="43"/>
    <s v="Middle Age"/>
    <x v="0"/>
  </r>
  <r>
    <n v="13886"/>
    <s v="Married"/>
    <x v="0"/>
    <n v="70000"/>
    <n v="4"/>
    <s v="Graduate Degree"/>
    <s v="Professional"/>
    <s v="Yes"/>
    <n v="0"/>
    <s v="2-5 Miles"/>
    <s v="North America"/>
    <n v="35"/>
    <s v="Middle Age"/>
    <x v="1"/>
  </r>
  <r>
    <n v="13073"/>
    <s v="Married"/>
    <x v="0"/>
    <n v="60000"/>
    <n v="0"/>
    <s v="Partial College"/>
    <s v="Professional"/>
    <s v="Yes"/>
    <n v="2"/>
    <s v="5-10 Miles"/>
    <s v="North America"/>
    <n v="30"/>
    <s v="Adolesent"/>
    <x v="0"/>
  </r>
  <r>
    <n v="21940"/>
    <s v="Married"/>
    <x v="1"/>
    <n v="90000"/>
    <n v="5"/>
    <s v="Graduate Degree"/>
    <s v="Professional"/>
    <s v="Yes"/>
    <n v="0"/>
    <s v="0-1 Miles"/>
    <s v="North America"/>
    <n v="47"/>
    <s v="Middle Age"/>
    <x v="1"/>
  </r>
  <r>
    <n v="20196"/>
    <s v="Married"/>
    <x v="1"/>
    <n v="60000"/>
    <n v="1"/>
    <s v="Partial College"/>
    <s v="Skilled Manual"/>
    <s v="Yes"/>
    <n v="1"/>
    <s v="2-5 Miles"/>
    <s v="North America"/>
    <n v="45"/>
    <s v="Middle Age"/>
    <x v="1"/>
  </r>
  <r>
    <n v="23491"/>
    <s v="Single"/>
    <x v="1"/>
    <n v="100000"/>
    <n v="0"/>
    <s v="Partial College"/>
    <s v="Professional"/>
    <s v="No"/>
    <n v="4"/>
    <s v="1-2 Miles"/>
    <s v="North America"/>
    <n v="45"/>
    <s v="Middle Age"/>
    <x v="0"/>
  </r>
  <r>
    <n v="16651"/>
    <s v="Married"/>
    <x v="0"/>
    <n v="120000"/>
    <n v="2"/>
    <s v="Bachelors"/>
    <s v="Management"/>
    <s v="Yes"/>
    <n v="3"/>
    <s v="5-10 Miles"/>
    <s v="North America"/>
    <n v="62"/>
    <s v="OLD"/>
    <x v="0"/>
  </r>
  <r>
    <n v="16813"/>
    <s v="Married"/>
    <x v="1"/>
    <n v="60000"/>
    <n v="2"/>
    <s v="Partial College"/>
    <s v="Professional"/>
    <s v="Yes"/>
    <n v="2"/>
    <s v="more than 10 miles"/>
    <s v="North America"/>
    <n v="55"/>
    <s v="Middle Age"/>
    <x v="0"/>
  </r>
  <r>
    <n v="16007"/>
    <s v="Married"/>
    <x v="0"/>
    <n v="90000"/>
    <n v="5"/>
    <s v="Bachelors"/>
    <s v="Management"/>
    <s v="Yes"/>
    <n v="2"/>
    <s v="1-2 Miles"/>
    <s v="North America"/>
    <n v="66"/>
    <s v="OLD"/>
    <x v="1"/>
  </r>
  <r>
    <n v="27434"/>
    <s v="Single"/>
    <x v="1"/>
    <n v="70000"/>
    <n v="4"/>
    <s v="Partial College"/>
    <s v="Professional"/>
    <s v="Yes"/>
    <n v="1"/>
    <s v="more than 10 miles"/>
    <s v="North America"/>
    <n v="56"/>
    <s v="OLD"/>
    <x v="0"/>
  </r>
  <r>
    <n v="27756"/>
    <s v="Single"/>
    <x v="0"/>
    <n v="50000"/>
    <n v="3"/>
    <s v="Bachelors"/>
    <s v="Skilled Manual"/>
    <s v="No"/>
    <n v="1"/>
    <s v="0-1 Miles"/>
    <s v="North America"/>
    <n v="40"/>
    <s v="Middle Age"/>
    <x v="0"/>
  </r>
  <r>
    <n v="23818"/>
    <s v="Married"/>
    <x v="0"/>
    <n v="50000"/>
    <n v="0"/>
    <s v="Graduate Degree"/>
    <s v="Skilled Manual"/>
    <s v="Yes"/>
    <n v="0"/>
    <s v="1-2 Miles"/>
    <s v="North America"/>
    <n v="33"/>
    <s v="Middle Age"/>
    <x v="1"/>
  </r>
  <r>
    <n v="19012"/>
    <s v="Married"/>
    <x v="1"/>
    <n v="80000"/>
    <n v="3"/>
    <s v="Bachelors"/>
    <s v="Management"/>
    <s v="Yes"/>
    <n v="1"/>
    <s v="1-2 Miles"/>
    <s v="North America"/>
    <n v="56"/>
    <s v="OLD"/>
    <x v="0"/>
  </r>
  <r>
    <n v="18329"/>
    <s v="Single"/>
    <x v="1"/>
    <n v="30000"/>
    <n v="0"/>
    <s v="Partial High School"/>
    <s v="Clerical"/>
    <s v="No"/>
    <n v="2"/>
    <s v="5-10 Miles"/>
    <s v="North America"/>
    <n v="27"/>
    <s v="Adolesent"/>
    <x v="0"/>
  </r>
  <r>
    <n v="29037"/>
    <s v="Married"/>
    <x v="1"/>
    <n v="60000"/>
    <n v="0"/>
    <s v="Graduate Degree"/>
    <s v="Professional"/>
    <s v="No"/>
    <n v="0"/>
    <s v="0-1 Miles"/>
    <s v="North America"/>
    <n v="39"/>
    <s v="Middle Age"/>
    <x v="0"/>
  </r>
  <r>
    <n v="26576"/>
    <s v="Married"/>
    <x v="0"/>
    <n v="60000"/>
    <n v="0"/>
    <s v="Partial College"/>
    <s v="Skilled Manual"/>
    <s v="Yes"/>
    <n v="2"/>
    <s v="5-10 Miles"/>
    <s v="North America"/>
    <n v="31"/>
    <s v="Middle Age"/>
    <x v="0"/>
  </r>
  <r>
    <n v="12192"/>
    <s v="Single"/>
    <x v="0"/>
    <n v="60000"/>
    <n v="2"/>
    <s v="Partial High School"/>
    <s v="Skilled Manual"/>
    <s v="No"/>
    <n v="2"/>
    <s v="1-2 Miles"/>
    <s v="North America"/>
    <n v="51"/>
    <s v="Middle Age"/>
    <x v="0"/>
  </r>
  <r>
    <n v="14887"/>
    <s v="Married"/>
    <x v="0"/>
    <n v="30000"/>
    <n v="1"/>
    <s v="High School"/>
    <s v="Clerical"/>
    <s v="Yes"/>
    <n v="1"/>
    <s v="5-10 Miles"/>
    <s v="North America"/>
    <n v="52"/>
    <s v="Middle Age"/>
    <x v="0"/>
  </r>
  <r>
    <n v="11734"/>
    <s v="Married"/>
    <x v="1"/>
    <n v="60000"/>
    <n v="1"/>
    <s v="Partial College"/>
    <s v="Skilled Manual"/>
    <s v="No"/>
    <n v="1"/>
    <s v="0-1 Miles"/>
    <s v="North America"/>
    <n v="47"/>
    <s v="Middle Age"/>
    <x v="0"/>
  </r>
  <r>
    <n v="17462"/>
    <s v="Married"/>
    <x v="1"/>
    <n v="70000"/>
    <n v="3"/>
    <s v="Graduate Degree"/>
    <s v="Management"/>
    <s v="Yes"/>
    <n v="2"/>
    <s v="5-10 Miles"/>
    <s v="North America"/>
    <n v="53"/>
    <s v="Middle Age"/>
    <x v="1"/>
  </r>
  <r>
    <n v="20659"/>
    <s v="Married"/>
    <x v="1"/>
    <n v="70000"/>
    <n v="3"/>
    <s v="Graduate Degree"/>
    <s v="Professional"/>
    <s v="Yes"/>
    <n v="0"/>
    <s v="0-1 Miles"/>
    <s v="North America"/>
    <n v="35"/>
    <s v="Middle Age"/>
    <x v="1"/>
  </r>
  <r>
    <n v="28004"/>
    <s v="Married"/>
    <x v="0"/>
    <n v="60000"/>
    <n v="3"/>
    <s v="Bachelors"/>
    <s v="Management"/>
    <s v="Yes"/>
    <n v="2"/>
    <s v="more than 10 miles"/>
    <s v="North America"/>
    <n v="66"/>
    <s v="OLD"/>
    <x v="0"/>
  </r>
  <r>
    <n v="19741"/>
    <s v="Single"/>
    <x v="0"/>
    <n v="80000"/>
    <n v="4"/>
    <s v="Graduate Degree"/>
    <s v="Management"/>
    <s v="Yes"/>
    <n v="2"/>
    <s v="5-10 Miles"/>
    <s v="North America"/>
    <n v="65"/>
    <s v="OLD"/>
    <x v="0"/>
  </r>
  <r>
    <n v="17450"/>
    <s v="Married"/>
    <x v="1"/>
    <n v="80000"/>
    <n v="5"/>
    <s v="Partial College"/>
    <s v="Professional"/>
    <s v="Yes"/>
    <n v="3"/>
    <s v="5-10 Miles"/>
    <s v="North America"/>
    <n v="45"/>
    <s v="Middle Age"/>
    <x v="0"/>
  </r>
  <r>
    <n v="17337"/>
    <s v="Single"/>
    <x v="1"/>
    <n v="40000"/>
    <n v="0"/>
    <s v="High School"/>
    <s v="Skilled Manual"/>
    <s v="Yes"/>
    <n v="1"/>
    <s v="5-10 Miles"/>
    <s v="North America"/>
    <n v="31"/>
    <s v="Middle Age"/>
    <x v="0"/>
  </r>
  <r>
    <n v="18594"/>
    <s v="Single"/>
    <x v="0"/>
    <n v="80000"/>
    <n v="3"/>
    <s v="Bachelors"/>
    <s v="Skilled Manual"/>
    <s v="Yes"/>
    <n v="3"/>
    <s v="more than 10 miles"/>
    <s v="North America"/>
    <n v="40"/>
    <s v="Middle Age"/>
    <x v="1"/>
  </r>
  <r>
    <n v="15982"/>
    <s v="Married"/>
    <x v="1"/>
    <n v="110000"/>
    <n v="5"/>
    <s v="Partial College"/>
    <s v="Professional"/>
    <s v="Yes"/>
    <n v="4"/>
    <s v="2-5 Miles"/>
    <s v="North America"/>
    <n v="46"/>
    <s v="Middle Age"/>
    <x v="0"/>
  </r>
  <r>
    <n v="28625"/>
    <s v="Single"/>
    <x v="1"/>
    <n v="40000"/>
    <n v="2"/>
    <s v="Partial College"/>
    <s v="Clerical"/>
    <s v="No"/>
    <n v="1"/>
    <s v="1-2 Miles"/>
    <s v="North America"/>
    <n v="47"/>
    <s v="Middle Age"/>
    <x v="1"/>
  </r>
  <r>
    <n v="11269"/>
    <s v="Married"/>
    <x v="1"/>
    <n v="130000"/>
    <n v="2"/>
    <s v="Graduate Degree"/>
    <s v="Management"/>
    <s v="Yes"/>
    <n v="2"/>
    <s v="0-1 Miles"/>
    <s v="North America"/>
    <n v="41"/>
    <s v="Middle Age"/>
    <x v="0"/>
  </r>
  <r>
    <n v="25148"/>
    <s v="Married"/>
    <x v="1"/>
    <n v="60000"/>
    <n v="2"/>
    <s v="High School"/>
    <s v="Professional"/>
    <s v="No"/>
    <n v="2"/>
    <s v="1-2 Miles"/>
    <s v="North America"/>
    <n v="48"/>
    <s v="Middle Age"/>
    <x v="1"/>
  </r>
  <r>
    <n v="13920"/>
    <s v="Single"/>
    <x v="0"/>
    <n v="50000"/>
    <n v="4"/>
    <s v="Bachelors"/>
    <s v="Skilled Manual"/>
    <s v="Yes"/>
    <n v="2"/>
    <s v="0-1 Miles"/>
    <s v="North America"/>
    <n v="42"/>
    <s v="Middle Age"/>
    <x v="0"/>
  </r>
  <r>
    <n v="23704"/>
    <s v="Single"/>
    <x v="1"/>
    <n v="40000"/>
    <n v="5"/>
    <s v="High School"/>
    <s v="Professional"/>
    <s v="Yes"/>
    <n v="4"/>
    <s v="more than 10 miles"/>
    <s v="North America"/>
    <n v="60"/>
    <s v="OLD"/>
    <x v="1"/>
  </r>
  <r>
    <n v="28972"/>
    <s v="Single"/>
    <x v="0"/>
    <n v="60000"/>
    <n v="3"/>
    <s v="Graduate Degree"/>
    <s v="Management"/>
    <s v="Yes"/>
    <n v="2"/>
    <s v="more than 10 miles"/>
    <s v="North America"/>
    <n v="66"/>
    <s v="OLD"/>
    <x v="0"/>
  </r>
  <r>
    <n v="22730"/>
    <s v="Married"/>
    <x v="1"/>
    <n v="70000"/>
    <n v="5"/>
    <s v="Bachelors"/>
    <s v="Management"/>
    <s v="Yes"/>
    <n v="2"/>
    <s v="more than 10 miles"/>
    <s v="North America"/>
    <n v="63"/>
    <s v="OLD"/>
    <x v="0"/>
  </r>
  <r>
    <n v="29134"/>
    <s v="Married"/>
    <x v="1"/>
    <n v="60000"/>
    <n v="4"/>
    <s v="Bachelors"/>
    <s v="Skilled Manual"/>
    <s v="No"/>
    <n v="3"/>
    <s v="more than 10 miles"/>
    <s v="North America"/>
    <n v="42"/>
    <s v="Middle Age"/>
    <x v="0"/>
  </r>
  <r>
    <n v="14332"/>
    <s v="Single"/>
    <x v="0"/>
    <n v="30000"/>
    <n v="0"/>
    <s v="High School"/>
    <s v="Skilled Manual"/>
    <s v="No"/>
    <n v="2"/>
    <s v="5-10 Miles"/>
    <s v="North America"/>
    <n v="26"/>
    <s v="Adolesent"/>
    <x v="0"/>
  </r>
  <r>
    <n v="19117"/>
    <s v="Single"/>
    <x v="0"/>
    <n v="60000"/>
    <n v="1"/>
    <s v="Graduate Degree"/>
    <s v="Professional"/>
    <s v="Yes"/>
    <n v="0"/>
    <s v="2-5 Miles"/>
    <s v="North America"/>
    <n v="36"/>
    <s v="Middle Age"/>
    <x v="1"/>
  </r>
  <r>
    <n v="22864"/>
    <s v="Married"/>
    <x v="1"/>
    <n v="90000"/>
    <n v="2"/>
    <s v="Partial College"/>
    <s v="Professional"/>
    <s v="No"/>
    <n v="0"/>
    <s v="5-10 Miles"/>
    <s v="North America"/>
    <n v="49"/>
    <s v="Middle Age"/>
    <x v="1"/>
  </r>
  <r>
    <n v="11292"/>
    <s v="Single"/>
    <x v="1"/>
    <n v="150000"/>
    <n v="1"/>
    <s v="Partial College"/>
    <s v="Professional"/>
    <s v="No"/>
    <n v="3"/>
    <s v="0-1 Miles"/>
    <s v="North America"/>
    <n v="44"/>
    <s v="Middle Age"/>
    <x v="1"/>
  </r>
  <r>
    <n v="13466"/>
    <s v="Married"/>
    <x v="1"/>
    <n v="80000"/>
    <n v="5"/>
    <s v="Partial College"/>
    <s v="Professional"/>
    <s v="Yes"/>
    <n v="3"/>
    <s v="1-2 Miles"/>
    <s v="North America"/>
    <n v="46"/>
    <s v="Middle Age"/>
    <x v="0"/>
  </r>
  <r>
    <n v="23731"/>
    <s v="Married"/>
    <x v="1"/>
    <n v="60000"/>
    <n v="2"/>
    <s v="High School"/>
    <s v="Professional"/>
    <s v="Yes"/>
    <n v="2"/>
    <s v="2-5 Miles"/>
    <s v="North America"/>
    <n v="54"/>
    <s v="Middle Age"/>
    <x v="1"/>
  </r>
  <r>
    <n v="28672"/>
    <s v="Single"/>
    <x v="1"/>
    <n v="70000"/>
    <n v="4"/>
    <s v="Graduate Degree"/>
    <s v="Professional"/>
    <s v="Yes"/>
    <n v="0"/>
    <s v="2-5 Miles"/>
    <s v="North America"/>
    <n v="35"/>
    <s v="Middle Age"/>
    <x v="1"/>
  </r>
  <r>
    <n v="11809"/>
    <s v="Married"/>
    <x v="1"/>
    <n v="60000"/>
    <n v="2"/>
    <s v="Bachelors"/>
    <s v="Skilled Manual"/>
    <s v="Yes"/>
    <n v="0"/>
    <s v="0-1 Miles"/>
    <s v="North America"/>
    <n v="38"/>
    <s v="Middle Age"/>
    <x v="1"/>
  </r>
  <r>
    <n v="19664"/>
    <s v="Single"/>
    <x v="1"/>
    <n v="100000"/>
    <n v="3"/>
    <s v="Bachelors"/>
    <s v="Management"/>
    <s v="No"/>
    <n v="3"/>
    <s v="1-2 Miles"/>
    <s v="North America"/>
    <n v="38"/>
    <s v="Middle Age"/>
    <x v="0"/>
  </r>
  <r>
    <n v="12121"/>
    <s v="Single"/>
    <x v="1"/>
    <n v="60000"/>
    <n v="3"/>
    <s v="High School"/>
    <s v="Professional"/>
    <s v="Yes"/>
    <n v="2"/>
    <s v="more than 10 miles"/>
    <s v="North America"/>
    <n v="53"/>
    <s v="Middle Age"/>
    <x v="1"/>
  </r>
  <r>
    <n v="13507"/>
    <s v="Married"/>
    <x v="0"/>
    <n v="10000"/>
    <n v="2"/>
    <s v="Partial College"/>
    <s v="Manual"/>
    <s v="Yes"/>
    <n v="0"/>
    <s v="1-2 Miles"/>
    <s v="Europe"/>
    <n v="50"/>
    <s v="Middle Age"/>
    <x v="0"/>
  </r>
  <r>
    <n v="19280"/>
    <s v="Married"/>
    <x v="1"/>
    <n v="120000"/>
    <n v="2"/>
    <s v="Partial College"/>
    <s v="Manual"/>
    <s v="Yes"/>
    <n v="1"/>
    <s v="0-1 Miles"/>
    <s v="Europe"/>
    <n v="40"/>
    <s v="Middle Age"/>
    <x v="1"/>
  </r>
  <r>
    <n v="22173"/>
    <s v="Married"/>
    <x v="0"/>
    <n v="30000"/>
    <n v="3"/>
    <s v="High School"/>
    <s v="Skilled Manual"/>
    <s v="No"/>
    <n v="2"/>
    <s v="1-2 Miles"/>
    <s v="Pacific"/>
    <n v="54"/>
    <s v="Middle Age"/>
    <x v="1"/>
  </r>
  <r>
    <n v="12697"/>
    <s v="Single"/>
    <x v="0"/>
    <n v="90000"/>
    <n v="0"/>
    <s v="Bachelors"/>
    <s v="Professional"/>
    <s v="No"/>
    <n v="4"/>
    <s v="more than 10 miles"/>
    <s v="Pacific"/>
    <n v="36"/>
    <s v="Middle Age"/>
    <x v="0"/>
  </r>
  <r>
    <n v="11434"/>
    <s v="Married"/>
    <x v="1"/>
    <n v="170000"/>
    <n v="5"/>
    <s v="Partial College"/>
    <s v="Professional"/>
    <s v="Yes"/>
    <n v="0"/>
    <s v="0-1 Miles"/>
    <s v="Europe"/>
    <n v="55"/>
    <s v="Middle Age"/>
    <x v="0"/>
  </r>
  <r>
    <n v="25323"/>
    <s v="Married"/>
    <x v="1"/>
    <n v="40000"/>
    <n v="2"/>
    <s v="Partial College"/>
    <s v="Clerical"/>
    <s v="Yes"/>
    <n v="1"/>
    <s v="1-2 Miles"/>
    <s v="Europe"/>
    <n v="35"/>
    <s v="Middle Age"/>
    <x v="1"/>
  </r>
  <r>
    <n v="23542"/>
    <s v="Single"/>
    <x v="1"/>
    <n v="60000"/>
    <n v="1"/>
    <s v="Partial College"/>
    <s v="Skilled Manual"/>
    <s v="No"/>
    <n v="1"/>
    <s v="0-1 Miles"/>
    <s v="Pacific"/>
    <n v="45"/>
    <s v="Middle Age"/>
    <x v="1"/>
  </r>
  <r>
    <n v="20870"/>
    <s v="Single"/>
    <x v="0"/>
    <n v="10000"/>
    <n v="2"/>
    <s v="High School"/>
    <s v="Manual"/>
    <s v="Yes"/>
    <n v="1"/>
    <s v="0-1 Miles"/>
    <s v="Europe"/>
    <n v="38"/>
    <s v="Middle Age"/>
    <x v="1"/>
  </r>
  <r>
    <n v="23316"/>
    <s v="Single"/>
    <x v="1"/>
    <n v="30000"/>
    <n v="3"/>
    <s v="Partial College"/>
    <s v="Clerical"/>
    <s v="No"/>
    <n v="2"/>
    <s v="1-2 Miles"/>
    <s v="Pacific"/>
    <n v="59"/>
    <s v="OLD"/>
    <x v="1"/>
  </r>
  <r>
    <n v="12610"/>
    <s v="Married"/>
    <x v="0"/>
    <n v="30000"/>
    <n v="1"/>
    <s v="Bachelors"/>
    <s v="Clerical"/>
    <s v="Yes"/>
    <n v="0"/>
    <s v="0-1 Miles"/>
    <s v="Europe"/>
    <n v="47"/>
    <s v="Middle Age"/>
    <x v="0"/>
  </r>
  <r>
    <n v="27183"/>
    <s v="Single"/>
    <x v="1"/>
    <n v="40000"/>
    <n v="2"/>
    <s v="Partial College"/>
    <s v="Clerical"/>
    <s v="Yes"/>
    <n v="1"/>
    <s v="1-2 Miles"/>
    <s v="Europe"/>
    <n v="35"/>
    <s v="Middle Age"/>
    <x v="1"/>
  </r>
  <r>
    <n v="25940"/>
    <s v="Single"/>
    <x v="1"/>
    <n v="20000"/>
    <n v="2"/>
    <s v="Partial High School"/>
    <s v="Clerical"/>
    <s v="Yes"/>
    <n v="2"/>
    <s v="5-10 Miles"/>
    <s v="Pacific"/>
    <n v="55"/>
    <s v="Middle Age"/>
    <x v="1"/>
  </r>
  <r>
    <n v="25598"/>
    <s v="Married"/>
    <x v="0"/>
    <n v="40000"/>
    <n v="0"/>
    <s v="Graduate Degree"/>
    <s v="Clerical"/>
    <s v="Yes"/>
    <n v="0"/>
    <s v="0-1 Miles"/>
    <s v="Europe"/>
    <n v="36"/>
    <s v="Middle Age"/>
    <x v="1"/>
  </r>
  <r>
    <n v="21564"/>
    <s v="Single"/>
    <x v="0"/>
    <n v="80000"/>
    <n v="0"/>
    <s v="Bachelors"/>
    <s v="Professional"/>
    <s v="Yes"/>
    <n v="4"/>
    <s v="more than 10 miles"/>
    <s v="Pacific"/>
    <n v="35"/>
    <s v="Middle Age"/>
    <x v="0"/>
  </r>
  <r>
    <n v="19193"/>
    <s v="Single"/>
    <x v="1"/>
    <n v="40000"/>
    <n v="2"/>
    <s v="Partial College"/>
    <s v="Clerical"/>
    <s v="Yes"/>
    <n v="0"/>
    <s v="1-2 Miles"/>
    <s v="Europe"/>
    <n v="35"/>
    <s v="Middle Age"/>
    <x v="1"/>
  </r>
  <r>
    <n v="26412"/>
    <s v="Married"/>
    <x v="0"/>
    <n v="80000"/>
    <n v="5"/>
    <s v="High School"/>
    <s v="Management"/>
    <s v="No"/>
    <n v="3"/>
    <s v="5-10 Miles"/>
    <s v="Europe"/>
    <n v="56"/>
    <s v="OLD"/>
    <x v="0"/>
  </r>
  <r>
    <n v="27184"/>
    <s v="Single"/>
    <x v="1"/>
    <n v="40000"/>
    <n v="2"/>
    <s v="Partial College"/>
    <s v="Clerical"/>
    <s v="No"/>
    <n v="1"/>
    <s v="0-1 Miles"/>
    <s v="Europe"/>
    <n v="34"/>
    <s v="Middle Age"/>
    <x v="0"/>
  </r>
  <r>
    <n v="12590"/>
    <s v="Single"/>
    <x v="1"/>
    <n v="30000"/>
    <n v="1"/>
    <s v="Bachelors"/>
    <s v="Clerical"/>
    <s v="Yes"/>
    <n v="0"/>
    <s v="0-1 Miles"/>
    <s v="Europe"/>
    <n v="63"/>
    <s v="OLD"/>
    <x v="0"/>
  </r>
  <r>
    <n v="17841"/>
    <s v="Single"/>
    <x v="1"/>
    <n v="30000"/>
    <n v="0"/>
    <s v="Partial College"/>
    <s v="Clerical"/>
    <s v="No"/>
    <n v="1"/>
    <s v="0-1 Miles"/>
    <s v="Europe"/>
    <n v="29"/>
    <s v="Adolesent"/>
    <x v="1"/>
  </r>
  <r>
    <n v="18283"/>
    <s v="Single"/>
    <x v="0"/>
    <n v="100000"/>
    <n v="0"/>
    <s v="Bachelors"/>
    <s v="Professional"/>
    <s v="No"/>
    <n v="1"/>
    <s v="5-10 Miles"/>
    <s v="Pacific"/>
    <n v="40"/>
    <s v="Middle Age"/>
    <x v="0"/>
  </r>
  <r>
    <n v="18299"/>
    <s v="Married"/>
    <x v="1"/>
    <n v="70000"/>
    <n v="5"/>
    <s v="Partial College"/>
    <s v="Skilled Manual"/>
    <s v="Yes"/>
    <n v="2"/>
    <s v="5-10 Miles"/>
    <s v="Pacific"/>
    <n v="44"/>
    <s v="Middle Age"/>
    <x v="0"/>
  </r>
  <r>
    <n v="16466"/>
    <s v="Single"/>
    <x v="0"/>
    <n v="20000"/>
    <n v="0"/>
    <s v="Partial High School"/>
    <s v="Manual"/>
    <s v="No"/>
    <n v="2"/>
    <s v="0-1 Miles"/>
    <s v="Europe"/>
    <n v="32"/>
    <s v="Middle Age"/>
    <x v="1"/>
  </r>
  <r>
    <n v="19273"/>
    <s v="Married"/>
    <x v="0"/>
    <n v="20000"/>
    <n v="2"/>
    <s v="Partial College"/>
    <s v="Manual"/>
    <s v="Yes"/>
    <n v="0"/>
    <s v="0-1 Miles"/>
    <s v="Europe"/>
    <n v="63"/>
    <s v="OLD"/>
    <x v="0"/>
  </r>
  <r>
    <n v="22400"/>
    <s v="Married"/>
    <x v="1"/>
    <n v="10000"/>
    <n v="0"/>
    <s v="Partial College"/>
    <s v="Manual"/>
    <s v="No"/>
    <n v="1"/>
    <s v="0-1 Miles"/>
    <s v="Pacific"/>
    <n v="26"/>
    <s v="Adolesent"/>
    <x v="1"/>
  </r>
  <r>
    <n v="20942"/>
    <s v="Single"/>
    <x v="0"/>
    <n v="20000"/>
    <n v="0"/>
    <s v="High School"/>
    <s v="Manual"/>
    <s v="No"/>
    <n v="1"/>
    <s v="5-10 Miles"/>
    <s v="Europe"/>
    <n v="31"/>
    <s v="Middle Age"/>
    <x v="0"/>
  </r>
  <r>
    <n v="18484"/>
    <s v="Single"/>
    <x v="1"/>
    <n v="80000"/>
    <n v="2"/>
    <s v="High School"/>
    <s v="Skilled Manual"/>
    <s v="No"/>
    <n v="2"/>
    <s v="1-2 Miles"/>
    <s v="Pacific"/>
    <n v="50"/>
    <s v="Middle Age"/>
    <x v="1"/>
  </r>
  <r>
    <m/>
    <m/>
    <x v="2"/>
    <m/>
    <m/>
    <m/>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8661D5-36E0-4262-8A94-1723A5A040DF}" name="PIVOT EDU"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56:D60"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pivotField showAll="0"/>
    <pivotField axis="axisRow" showAll="0">
      <items count="6">
        <item x="0"/>
        <item x="4"/>
        <item x="2"/>
        <item x="1"/>
        <item x="3"/>
        <item t="default"/>
      </items>
    </pivotField>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showAll="0"/>
    <pivotField showAll="0"/>
    <pivotField axis="axisCol" dataField="1" showAll="0">
      <items count="3">
        <item x="0"/>
        <item x="1"/>
        <item t="default"/>
      </items>
    </pivotField>
  </pivotFields>
  <rowFields count="1">
    <field x="5"/>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10F23C-2CB2-48BB-91AF-3B224245DF9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40:I141" firstHeaderRow="0" firstDataRow="1" firstDataCol="0"/>
  <pivotFields count="14">
    <pivotField showAll="0"/>
    <pivotField showAll="0">
      <items count="3">
        <item x="0"/>
        <item h="1" x="1"/>
        <item t="default"/>
      </items>
    </pivotField>
    <pivotField showAll="0"/>
    <pivotField dataField="1" numFmtId="164" showAll="0"/>
    <pivotField showAll="0"/>
    <pivotField showAll="0">
      <items count="6">
        <item h="1" x="0"/>
        <item h="1" x="4"/>
        <item h="1" x="2"/>
        <item h="1" x="1"/>
        <item x="3"/>
        <item t="default"/>
      </items>
    </pivotField>
    <pivotField showAll="0"/>
    <pivotField showAll="0"/>
    <pivotField showAll="0"/>
    <pivotField showAll="0"/>
    <pivotField showAll="0"/>
    <pivotField showAll="0"/>
    <pivotField showAll="0"/>
    <pivotField dataField="1" showAll="0"/>
  </pivotFields>
  <rowItems count="1">
    <i/>
  </rowItems>
  <colFields count="1">
    <field x="-2"/>
  </colFields>
  <colItems count="2">
    <i>
      <x/>
    </i>
    <i i="1">
      <x v="1"/>
    </i>
  </colItems>
  <dataFields count="2">
    <dataField name="Count of Purchased Bike" fld="13" subtotal="count" baseField="0" baseItem="0"/>
    <dataField name="Average of Income" fld="3"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3D922C-31D6-4312-95A2-3A054E1CB863}" name="PIVOT CHILDRE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91:D99"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pivotField axis="axisRow" showAll="0">
      <items count="7">
        <item x="3"/>
        <item x="0"/>
        <item x="4"/>
        <item x="1"/>
        <item x="5"/>
        <item x="2"/>
        <item t="default"/>
      </items>
    </pivotField>
    <pivotField showAll="0">
      <items count="6">
        <item h="1" x="0"/>
        <item h="1" x="4"/>
        <item h="1" x="2"/>
        <item h="1" x="1"/>
        <item x="3"/>
        <item t="default"/>
      </items>
    </pivotField>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showAll="0"/>
    <pivotField showAll="0"/>
    <pivotField axis="axisCol" dataField="1" showAll="0">
      <items count="3">
        <item x="0"/>
        <item x="1"/>
        <item t="default"/>
      </items>
    </pivotField>
  </pivotFields>
  <rowFields count="1">
    <field x="4"/>
  </rowFields>
  <rowItems count="7">
    <i>
      <x/>
    </i>
    <i>
      <x v="1"/>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439B72-2649-4E9B-8A00-F34C5AE1E504}" name="PIVOT INCOME"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E8" firstHeaderRow="1" firstDataRow="2" firstDataCol="1"/>
  <pivotFields count="14">
    <pivotField showAll="0"/>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2"/>
  </rowFields>
  <rowItems count="4">
    <i>
      <x/>
    </i>
    <i>
      <x v="1"/>
    </i>
    <i>
      <x v="2"/>
    </i>
    <i t="grand">
      <x/>
    </i>
  </rowItems>
  <colFields count="1">
    <field x="13"/>
  </colFields>
  <colItems count="4">
    <i>
      <x/>
    </i>
    <i>
      <x v="1"/>
    </i>
    <i>
      <x v="2"/>
    </i>
    <i t="grand">
      <x/>
    </i>
  </colItems>
  <dataFields count="1">
    <dataField name="Average of Income" fld="3" subtotal="average" baseField="2" baseItem="0" numFmtId="2"/>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471367-16BC-488A-8B48-54B54C34A50C}" name="PIVOT AG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9:D43"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pivotField showAll="0"/>
    <pivotField showAll="0">
      <items count="6">
        <item h="1" x="0"/>
        <item h="1" x="4"/>
        <item h="1" x="2"/>
        <item h="1" x="1"/>
        <item x="3"/>
        <item t="default"/>
      </items>
    </pivotField>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7CA6A7-910A-4B7A-AB1D-56A3D4B1AD86}"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6:C173" firstHeaderRow="1" firstDataRow="1" firstDataCol="0"/>
  <pivotFields count="14">
    <pivotField showAll="0"/>
    <pivotField showAll="0">
      <items count="3">
        <item h="1" x="0"/>
        <item x="1"/>
        <item t="default"/>
      </items>
    </pivotField>
    <pivotField showAll="0"/>
    <pivotField numFmtId="164" showAll="0"/>
    <pivotField showAll="0"/>
    <pivotField showAll="0"/>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EA9B6C-DCF7-4D75-B991-D51509EC6B2E}"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44:I147" firstHeaderRow="1" firstDataRow="1" firstDataCol="1"/>
  <pivotFields count="14">
    <pivotField dataField="1" showAll="0"/>
    <pivotField showAll="0">
      <items count="3">
        <item x="0"/>
        <item h="1" x="1"/>
        <item t="default"/>
      </items>
    </pivotField>
    <pivotField showAll="0"/>
    <pivotField numFmtId="164" showAll="0"/>
    <pivotField showAll="0"/>
    <pivotField showAll="0">
      <items count="6">
        <item h="1" x="0"/>
        <item h="1" x="4"/>
        <item h="1" x="2"/>
        <item h="1" x="1"/>
        <item x="3"/>
        <item t="default"/>
      </items>
    </pivotField>
    <pivotField showAll="0">
      <items count="6">
        <item h="1" x="1"/>
        <item x="4"/>
        <item h="1" x="3"/>
        <item h="1" x="2"/>
        <item h="1" x="0"/>
        <item t="default"/>
      </items>
    </pivotField>
    <pivotField showAll="0"/>
    <pivotField showAll="0"/>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percentage of ID" fld="0"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1F4A4B-EDDF-4B40-B17E-707B074CB347}" name="PIVOT JOB"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73:D76"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pivotField showAll="0"/>
    <pivotField showAll="0">
      <items count="6">
        <item h="1" x="0"/>
        <item h="1" x="4"/>
        <item h="1" x="2"/>
        <item h="1" x="1"/>
        <item x="3"/>
        <item t="default"/>
      </items>
    </pivotField>
    <pivotField axis="axisRow" showAll="0">
      <items count="6">
        <item h="1" x="1"/>
        <item x="4"/>
        <item h="1" x="3"/>
        <item h="1" x="2"/>
        <item h="1" x="0"/>
        <item t="default"/>
      </items>
    </pivotField>
    <pivotField showAll="0"/>
    <pivotField showAll="0"/>
    <pivotField showAll="0"/>
    <pivotField showAll="0">
      <items count="4">
        <item h="1" x="0"/>
        <item x="2"/>
        <item h="1" x="1"/>
        <item t="default"/>
      </items>
    </pivotField>
    <pivotField showAll="0"/>
    <pivotField showAll="0"/>
    <pivotField axis="axisCol" dataField="1" showAll="0">
      <items count="3">
        <item x="0"/>
        <item x="1"/>
        <item t="default"/>
      </items>
    </pivotField>
  </pivotFields>
  <rowFields count="1">
    <field x="6"/>
  </rowFields>
  <rowItems count="2">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F70941-F3EB-43C4-8C0E-F7C129109838}" name="PIVOT PURCHAS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2:D29"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pivotField showAll="0"/>
    <pivotField showAll="0">
      <items count="6">
        <item h="1" x="0"/>
        <item h="1" x="4"/>
        <item h="1" x="2"/>
        <item h="1" x="1"/>
        <item x="3"/>
        <item t="default"/>
      </items>
    </pivotField>
    <pivotField showAll="0">
      <items count="6">
        <item h="1" x="1"/>
        <item x="4"/>
        <item h="1" x="3"/>
        <item h="1" x="2"/>
        <item h="1" x="0"/>
        <item t="default"/>
      </items>
    </pivotField>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7ED99E-8D54-4827-8603-0A5C606E7C65}" name="PIVOT HOM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07:D111"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pivotField showAll="0"/>
    <pivotField showAll="0">
      <items count="6">
        <item h="1" x="0"/>
        <item h="1" x="4"/>
        <item h="1" x="2"/>
        <item h="1" x="1"/>
        <item x="3"/>
        <item t="default"/>
      </items>
    </pivotField>
    <pivotField showAll="0">
      <items count="6">
        <item h="1" x="1"/>
        <item x="4"/>
        <item h="1" x="3"/>
        <item h="1" x="2"/>
        <item h="1" x="0"/>
        <item t="default"/>
      </items>
    </pivotField>
    <pivotField axis="axisRow" showAll="0">
      <items count="3">
        <item x="1"/>
        <item x="0"/>
        <item t="default"/>
      </items>
    </pivotField>
    <pivotField showAll="0"/>
    <pivotField showAll="0"/>
    <pivotField showAll="0">
      <items count="4">
        <item h="1" x="0"/>
        <item x="2"/>
        <item h="1" x="1"/>
        <item t="default"/>
      </items>
    </pivotField>
    <pivotField showAll="0"/>
    <pivotField showAll="0"/>
    <pivotField axis="axisCol" dataField="1" showAll="0">
      <items count="3">
        <item x="0"/>
        <item x="1"/>
        <item t="default"/>
      </items>
    </pivotField>
  </pivotFields>
  <rowFields count="1">
    <field x="7"/>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pivotArea type="data" outline="0" fieldPosition="0">
        <references count="3">
          <reference field="4294967294" count="1" selected="0">
            <x v="0"/>
          </reference>
          <reference field="7" count="1" selected="0">
            <x v="0"/>
          </reference>
          <reference field="13" count="1" selected="0">
            <x v="0"/>
          </reference>
        </references>
      </pivotArea>
    </chartFormat>
    <chartFormat chart="2" format="10">
      <pivotArea type="data" outline="0" fieldPosition="0">
        <references count="3">
          <reference field="4294967294" count="1" selected="0">
            <x v="0"/>
          </reference>
          <reference field="7" count="1" selected="0">
            <x v="1"/>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2" format="12">
      <pivotArea type="data" outline="0" fieldPosition="0">
        <references count="3">
          <reference field="4294967294" count="1" selected="0">
            <x v="0"/>
          </reference>
          <reference field="7" count="1" selected="0">
            <x v="0"/>
          </reference>
          <reference field="13" count="1" selected="0">
            <x v="1"/>
          </reference>
        </references>
      </pivotArea>
    </chartFormat>
    <chartFormat chart="2" format="13">
      <pivotArea type="data" outline="0" fieldPosition="0">
        <references count="3">
          <reference field="4294967294" count="1" selected="0">
            <x v="0"/>
          </reference>
          <reference field="7" count="1" selected="0">
            <x v="1"/>
          </reference>
          <reference field="13" count="1" selected="0">
            <x v="1"/>
          </reference>
        </references>
      </pivotArea>
    </chartFormat>
    <chartFormat chart="2" format="1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3">
          <reference field="4294967294" count="1" selected="0">
            <x v="0"/>
          </reference>
          <reference field="7" count="1" selected="0">
            <x v="0"/>
          </reference>
          <reference field="13" count="1" selected="0">
            <x v="0"/>
          </reference>
        </references>
      </pivotArea>
    </chartFormat>
    <chartFormat chart="0" format="4">
      <pivotArea type="data" outline="0" fieldPosition="0">
        <references count="3">
          <reference field="4294967294" count="1" selected="0">
            <x v="0"/>
          </reference>
          <reference field="7" count="1" selected="0">
            <x v="1"/>
          </reference>
          <reference field="13" count="1" selected="0">
            <x v="0"/>
          </reference>
        </references>
      </pivotArea>
    </chartFormat>
    <chartFormat chart="0" format="5">
      <pivotArea type="data" outline="0" fieldPosition="0">
        <references count="3">
          <reference field="4294967294" count="1" selected="0">
            <x v="0"/>
          </reference>
          <reference field="7" count="1" selected="0">
            <x v="0"/>
          </reference>
          <reference field="13" count="1" selected="0">
            <x v="1"/>
          </reference>
        </references>
      </pivotArea>
    </chartFormat>
    <chartFormat chart="0" format="6">
      <pivotArea type="data" outline="0" fieldPosition="0">
        <references count="3">
          <reference field="4294967294" count="1" selected="0">
            <x v="0"/>
          </reference>
          <reference field="7"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B3F289-65BC-48AE-BB85-DB4F057164C8}" name="PIVOT CA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23:D130" firstHeaderRow="1" firstDataRow="2" firstDataCol="1"/>
  <pivotFields count="14">
    <pivotField showAll="0"/>
    <pivotField showAll="0">
      <items count="3">
        <item h="1" x="0"/>
        <item x="1"/>
        <item t="default"/>
      </items>
    </pivotField>
    <pivotField showAll="0">
      <items count="3">
        <item h="1" x="0"/>
        <item x="1"/>
        <item t="default"/>
      </items>
    </pivotField>
    <pivotField numFmtId="164" showAll="0"/>
    <pivotField showAll="0"/>
    <pivotField showAll="0">
      <items count="6">
        <item h="1" x="0"/>
        <item h="1" x="4"/>
        <item h="1" x="2"/>
        <item h="1" x="1"/>
        <item x="3"/>
        <item t="default"/>
      </items>
    </pivotField>
    <pivotField showAll="0">
      <items count="6">
        <item h="1" x="1"/>
        <item x="4"/>
        <item h="1" x="3"/>
        <item h="1" x="2"/>
        <item h="1" x="0"/>
        <item t="default"/>
      </items>
    </pivotField>
    <pivotField showAll="0"/>
    <pivotField axis="axisRow" showAll="0">
      <items count="6">
        <item x="0"/>
        <item x="1"/>
        <item x="2"/>
        <item x="4"/>
        <item x="3"/>
        <item t="default"/>
      </items>
    </pivotField>
    <pivotField showAll="0"/>
    <pivotField showAll="0">
      <items count="4">
        <item h="1" x="0"/>
        <item x="2"/>
        <item h="1" x="1"/>
        <item t="default"/>
      </items>
    </pivotField>
    <pivotField showAll="0"/>
    <pivotField showAll="0"/>
    <pivotField axis="axisCol" dataField="1" showAll="0">
      <items count="3">
        <item x="0"/>
        <item x="1"/>
        <item t="default"/>
      </items>
    </pivotField>
  </pivotFields>
  <rowFields count="1">
    <field x="8"/>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F7F8938-700F-4CA9-99AE-0A265DE1D587}" sourceName="Marital status">
  <pivotTables>
    <pivotTable tabId="6" name="PivotTable11"/>
    <pivotTable tabId="6" name="PIVOT AGE"/>
    <pivotTable tabId="6" name="PIVOT CAR"/>
    <pivotTable tabId="6" name="PIVOT CHILDREN"/>
    <pivotTable tabId="6" name="PIVOT EDU"/>
    <pivotTable tabId="6" name="PIVOT HOME"/>
    <pivotTable tabId="6" name="PIVOT JOB"/>
    <pivotTable tabId="6" name="PIVOT PURCHASE"/>
  </pivotTables>
  <data>
    <tabular pivotCacheId="28016397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2863DE-1AD4-49A1-934F-CF0B81C4D25A}" sourceName="Region">
  <pivotTables>
    <pivotTable tabId="6" name="PivotTable11"/>
    <pivotTable tabId="6" name="PIVOT AGE"/>
    <pivotTable tabId="6" name="PIVOT CAR"/>
    <pivotTable tabId="6" name="PIVOT CHILDREN"/>
    <pivotTable tabId="6" name="PIVOT EDU"/>
    <pivotTable tabId="6" name="PIVOT HOME"/>
    <pivotTable tabId="6" name="PIVOT JOB"/>
    <pivotTable tabId="6" name="PIVOT PURCHASE"/>
  </pivotTables>
  <data>
    <tabular pivotCacheId="280163970">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B1E559F-8167-4C4F-A9AB-FDAD0C0B7BFE}" sourceName="Occupation">
  <pivotTables>
    <pivotTable tabId="6" name="PivotTable11"/>
    <pivotTable tabId="6" name="PIVOT AGE"/>
    <pivotTable tabId="6" name="PIVOT CAR"/>
    <pivotTable tabId="6" name="PIVOT CHILDREN"/>
    <pivotTable tabId="6" name="PIVOT EDU"/>
    <pivotTable tabId="6" name="PIVOT HOME"/>
    <pivotTable tabId="6" name="PIVOT JOB"/>
    <pivotTable tabId="6" name="PIVOT PURCHASE"/>
    <pivotTable tabId="6" name="PivotTable10"/>
  </pivotTables>
  <data>
    <tabular pivotCacheId="280163970">
      <items count="5">
        <i x="1"/>
        <i x="4" s="1"/>
        <i x="3"/>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DB1F81A-D528-4C54-BAB5-28FD36F33DA2}" cache="Slicer_Marital_status" caption="Marital status" style="SlicerStyleLight6" rowHeight="576000"/>
  <slicer name="Region" xr10:uid="{FDFDE8A6-CD31-4845-87AA-97139E3638A6}" cache="Slicer_Region" caption="Region" style="SlicerStyleLight4" rowHeight="396000"/>
  <slicer name="Occupation" xr10:uid="{AFE05567-B93B-49B5-B833-0062CE353783}" cache="Slicer_Occupation" caption="Occupation" style="SlicerStyleLight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F3AA42-2D4C-4CA1-AB26-258AC135BA0F}" name="Table1" displayName="Table1" ref="A1:N1027" totalsRowShown="0">
  <autoFilter ref="A1:N1027" xr:uid="{2F8917FE-4C80-472A-8D07-906F22384049}"/>
  <tableColumns count="14">
    <tableColumn id="1" xr3:uid="{62D23C22-13E7-4F83-B7B7-11BF578994A1}" name="ID"/>
    <tableColumn id="2" xr3:uid="{D2A4EB9B-505C-4489-8446-FA42E1A16C07}" name="Marital status"/>
    <tableColumn id="3" xr3:uid="{4BDB775E-2304-49BD-83FB-833BC595634F}" name="Gender"/>
    <tableColumn id="4" xr3:uid="{6A357CE0-0C48-4366-A075-D6DCE4D20579}" name="Income" dataDxfId="1"/>
    <tableColumn id="5" xr3:uid="{6D068785-20F9-4166-AFEE-914BA77E55FA}" name="Children"/>
    <tableColumn id="6" xr3:uid="{94971B1E-E151-4EB7-BE14-3DB407E9E529}" name="Education"/>
    <tableColumn id="7" xr3:uid="{04AC139B-A011-4DCF-84C4-A55D0E8EC75E}" name="Occupation"/>
    <tableColumn id="8" xr3:uid="{3D2361D6-36CA-4AE2-B4E6-24768E1C3C02}" name="Home Owner"/>
    <tableColumn id="9" xr3:uid="{0568A0CF-80CD-4652-B30B-AE4CD9D45470}" name="Cars"/>
    <tableColumn id="10" xr3:uid="{732D4594-EFAB-4DE1-A1BF-DBE418F37EBE}" name="Commute Distance"/>
    <tableColumn id="11" xr3:uid="{D3730B79-8B5C-4191-8275-27C25836DA29}" name="Region"/>
    <tableColumn id="12" xr3:uid="{FDCDBD5B-2224-44AF-B88A-A306CAF75D95}" name="Age"/>
    <tableColumn id="13" xr3:uid="{23EB55E5-DCE0-4801-85E9-481E975DB488}" name="Age Brackets">
      <calculatedColumnFormula>IF(L2&gt;55,"OLD",IF(L2&gt;=31,"Middle Age",IF(L2&lt;31,"Adolesent","Invalid")))</calculatedColumnFormula>
    </tableColumn>
    <tableColumn id="14" xr3:uid="{55E07C0D-27BC-472E-986F-67663946362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3" sqref="B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A289-1BA5-418C-B993-8EF031F3F5F3}">
  <dimension ref="A1:N1027"/>
  <sheetViews>
    <sheetView topLeftCell="A1000" workbookViewId="0">
      <selection activeCell="D17" sqref="D17"/>
    </sheetView>
  </sheetViews>
  <sheetFormatPr defaultRowHeight="14.4" x14ac:dyDescent="0.3"/>
  <cols>
    <col min="2" max="2" width="14.5546875" customWidth="1"/>
    <col min="3" max="3" width="9" customWidth="1"/>
    <col min="4" max="4" width="13.77734375" customWidth="1"/>
    <col min="5" max="5" width="9.88671875" customWidth="1"/>
    <col min="6" max="6" width="11.33203125" customWidth="1"/>
    <col min="7" max="7" width="17.21875" customWidth="1"/>
    <col min="8" max="8" width="13.88671875" customWidth="1"/>
    <col min="10" max="10" width="18.77734375" customWidth="1"/>
    <col min="13" max="13" width="13.6640625" customWidth="1"/>
    <col min="14" max="14" width="15.6640625" customWidth="1"/>
  </cols>
  <sheetData>
    <row r="1" spans="1:14" x14ac:dyDescent="0.3">
      <c r="A1" t="s">
        <v>0</v>
      </c>
      <c r="B1" t="s">
        <v>43</v>
      </c>
      <c r="C1" t="s">
        <v>2</v>
      </c>
      <c r="D1" t="s">
        <v>3</v>
      </c>
      <c r="E1" t="s">
        <v>4</v>
      </c>
      <c r="F1" t="s">
        <v>5</v>
      </c>
      <c r="G1" t="s">
        <v>6</v>
      </c>
      <c r="H1" t="s">
        <v>7</v>
      </c>
      <c r="I1" t="s">
        <v>8</v>
      </c>
      <c r="J1" t="s">
        <v>9</v>
      </c>
      <c r="K1" t="s">
        <v>10</v>
      </c>
      <c r="L1" t="s">
        <v>11</v>
      </c>
      <c r="M1" t="s">
        <v>36</v>
      </c>
      <c r="N1" t="s">
        <v>12</v>
      </c>
    </row>
    <row r="2" spans="1:14" x14ac:dyDescent="0.3">
      <c r="A2">
        <v>12496</v>
      </c>
      <c r="B2" t="s">
        <v>37</v>
      </c>
      <c r="C2" t="s">
        <v>40</v>
      </c>
      <c r="D2" s="1">
        <v>40000</v>
      </c>
      <c r="E2">
        <v>1</v>
      </c>
      <c r="F2" t="s">
        <v>13</v>
      </c>
      <c r="G2" t="s">
        <v>14</v>
      </c>
      <c r="H2" t="s">
        <v>15</v>
      </c>
      <c r="I2">
        <v>0</v>
      </c>
      <c r="J2" t="s">
        <v>16</v>
      </c>
      <c r="K2" t="s">
        <v>17</v>
      </c>
      <c r="L2">
        <v>42</v>
      </c>
      <c r="M2" t="str">
        <f>IF(L2&gt;55,"OLD",IF(L2&gt;=31,"Middle Age",IF(L2&lt;31,"Adolesent","Invalid")))</f>
        <v>Middle Age</v>
      </c>
      <c r="N2" t="s">
        <v>18</v>
      </c>
    </row>
    <row r="3" spans="1:14" x14ac:dyDescent="0.3">
      <c r="A3">
        <v>24107</v>
      </c>
      <c r="B3" t="s">
        <v>37</v>
      </c>
      <c r="C3" t="s">
        <v>39</v>
      </c>
      <c r="D3" s="1">
        <v>30000</v>
      </c>
      <c r="E3">
        <v>3</v>
      </c>
      <c r="F3" t="s">
        <v>19</v>
      </c>
      <c r="G3" t="s">
        <v>20</v>
      </c>
      <c r="H3" t="s">
        <v>15</v>
      </c>
      <c r="I3">
        <v>1</v>
      </c>
      <c r="J3" t="s">
        <v>16</v>
      </c>
      <c r="K3" t="s">
        <v>17</v>
      </c>
      <c r="L3">
        <v>43</v>
      </c>
      <c r="M3" t="str">
        <f t="shared" ref="M3:M66" si="0">IF(L3&gt;55,"OLD",IF(L3&gt;=31,"Middle Age",IF(L3&lt;31,"Adolesent","Invalid")))</f>
        <v>Middle Age</v>
      </c>
      <c r="N3" t="s">
        <v>18</v>
      </c>
    </row>
    <row r="4" spans="1:14" x14ac:dyDescent="0.3">
      <c r="A4">
        <v>14177</v>
      </c>
      <c r="B4" t="s">
        <v>37</v>
      </c>
      <c r="C4" t="s">
        <v>39</v>
      </c>
      <c r="D4" s="1">
        <v>80000</v>
      </c>
      <c r="E4">
        <v>5</v>
      </c>
      <c r="F4" t="s">
        <v>19</v>
      </c>
      <c r="G4" t="s">
        <v>21</v>
      </c>
      <c r="H4" t="s">
        <v>18</v>
      </c>
      <c r="I4">
        <v>2</v>
      </c>
      <c r="J4" t="s">
        <v>22</v>
      </c>
      <c r="K4" t="s">
        <v>17</v>
      </c>
      <c r="L4">
        <v>60</v>
      </c>
      <c r="M4" t="str">
        <f t="shared" si="0"/>
        <v>OLD</v>
      </c>
      <c r="N4" t="s">
        <v>18</v>
      </c>
    </row>
    <row r="5" spans="1:14" x14ac:dyDescent="0.3">
      <c r="A5">
        <v>24381</v>
      </c>
      <c r="B5" t="s">
        <v>38</v>
      </c>
      <c r="C5" t="s">
        <v>39</v>
      </c>
      <c r="D5" s="1">
        <v>70000</v>
      </c>
      <c r="E5">
        <v>0</v>
      </c>
      <c r="F5" t="s">
        <v>13</v>
      </c>
      <c r="G5" t="s">
        <v>21</v>
      </c>
      <c r="H5" t="s">
        <v>15</v>
      </c>
      <c r="I5">
        <v>1</v>
      </c>
      <c r="J5" t="s">
        <v>23</v>
      </c>
      <c r="K5" t="s">
        <v>24</v>
      </c>
      <c r="L5">
        <v>41</v>
      </c>
      <c r="M5" t="str">
        <f t="shared" si="0"/>
        <v>Middle Age</v>
      </c>
      <c r="N5" t="s">
        <v>15</v>
      </c>
    </row>
    <row r="6" spans="1:14" x14ac:dyDescent="0.3">
      <c r="A6">
        <v>25597</v>
      </c>
      <c r="B6" t="s">
        <v>38</v>
      </c>
      <c r="C6" t="s">
        <v>39</v>
      </c>
      <c r="D6" s="1">
        <v>30000</v>
      </c>
      <c r="E6">
        <v>0</v>
      </c>
      <c r="F6" t="s">
        <v>13</v>
      </c>
      <c r="G6" t="s">
        <v>20</v>
      </c>
      <c r="H6" t="s">
        <v>18</v>
      </c>
      <c r="I6">
        <v>0</v>
      </c>
      <c r="J6" t="s">
        <v>16</v>
      </c>
      <c r="K6" t="s">
        <v>17</v>
      </c>
      <c r="L6">
        <v>36</v>
      </c>
      <c r="M6" t="str">
        <f t="shared" si="0"/>
        <v>Middle Age</v>
      </c>
      <c r="N6" t="s">
        <v>15</v>
      </c>
    </row>
    <row r="7" spans="1:14" x14ac:dyDescent="0.3">
      <c r="A7">
        <v>13507</v>
      </c>
      <c r="B7" t="s">
        <v>37</v>
      </c>
      <c r="C7" t="s">
        <v>40</v>
      </c>
      <c r="D7" s="1">
        <v>10000</v>
      </c>
      <c r="E7">
        <v>2</v>
      </c>
      <c r="F7" t="s">
        <v>19</v>
      </c>
      <c r="G7" t="s">
        <v>25</v>
      </c>
      <c r="H7" t="s">
        <v>15</v>
      </c>
      <c r="I7">
        <v>0</v>
      </c>
      <c r="J7" t="s">
        <v>26</v>
      </c>
      <c r="K7" t="s">
        <v>17</v>
      </c>
      <c r="L7">
        <v>50</v>
      </c>
      <c r="M7" t="str">
        <f t="shared" si="0"/>
        <v>Middle Age</v>
      </c>
      <c r="N7" t="s">
        <v>18</v>
      </c>
    </row>
    <row r="8" spans="1:14" x14ac:dyDescent="0.3">
      <c r="A8">
        <v>27974</v>
      </c>
      <c r="B8" t="s">
        <v>38</v>
      </c>
      <c r="C8" t="s">
        <v>39</v>
      </c>
      <c r="D8" s="1">
        <v>160000</v>
      </c>
      <c r="E8">
        <v>2</v>
      </c>
      <c r="F8" t="s">
        <v>27</v>
      </c>
      <c r="G8" t="s">
        <v>28</v>
      </c>
      <c r="H8" t="s">
        <v>15</v>
      </c>
      <c r="I8">
        <v>4</v>
      </c>
      <c r="J8" t="s">
        <v>16</v>
      </c>
      <c r="K8" t="s">
        <v>24</v>
      </c>
      <c r="L8">
        <v>33</v>
      </c>
      <c r="M8" t="str">
        <f t="shared" si="0"/>
        <v>Middle Age</v>
      </c>
      <c r="N8" t="s">
        <v>15</v>
      </c>
    </row>
    <row r="9" spans="1:14" x14ac:dyDescent="0.3">
      <c r="A9">
        <v>19364</v>
      </c>
      <c r="B9" t="s">
        <v>37</v>
      </c>
      <c r="C9" t="s">
        <v>39</v>
      </c>
      <c r="D9" s="1">
        <v>40000</v>
      </c>
      <c r="E9">
        <v>1</v>
      </c>
      <c r="F9" t="s">
        <v>13</v>
      </c>
      <c r="G9" t="s">
        <v>14</v>
      </c>
      <c r="H9" t="s">
        <v>15</v>
      </c>
      <c r="I9">
        <v>0</v>
      </c>
      <c r="J9" t="s">
        <v>16</v>
      </c>
      <c r="K9" t="s">
        <v>17</v>
      </c>
      <c r="L9">
        <v>43</v>
      </c>
      <c r="M9" t="str">
        <f t="shared" si="0"/>
        <v>Middle Age</v>
      </c>
      <c r="N9" t="s">
        <v>15</v>
      </c>
    </row>
    <row r="10" spans="1:14" x14ac:dyDescent="0.3">
      <c r="A10">
        <v>22155</v>
      </c>
      <c r="B10" t="s">
        <v>37</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37</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37</v>
      </c>
      <c r="C12" t="s">
        <v>40</v>
      </c>
      <c r="D12" s="1">
        <v>30000</v>
      </c>
      <c r="E12">
        <v>3</v>
      </c>
      <c r="F12" t="s">
        <v>27</v>
      </c>
      <c r="G12" t="s">
        <v>14</v>
      </c>
      <c r="H12" t="s">
        <v>18</v>
      </c>
      <c r="I12">
        <v>2</v>
      </c>
      <c r="J12" t="s">
        <v>26</v>
      </c>
      <c r="K12" t="s">
        <v>24</v>
      </c>
      <c r="L12">
        <v>54</v>
      </c>
      <c r="M12" t="str">
        <f t="shared" si="0"/>
        <v>Middle Age</v>
      </c>
      <c r="N12" t="s">
        <v>15</v>
      </c>
    </row>
    <row r="13" spans="1:14" x14ac:dyDescent="0.3">
      <c r="A13">
        <v>12697</v>
      </c>
      <c r="B13" t="s">
        <v>38</v>
      </c>
      <c r="C13" t="s">
        <v>40</v>
      </c>
      <c r="D13" s="1">
        <v>90000</v>
      </c>
      <c r="E13">
        <v>0</v>
      </c>
      <c r="F13" t="s">
        <v>13</v>
      </c>
      <c r="G13" t="s">
        <v>21</v>
      </c>
      <c r="H13" t="s">
        <v>18</v>
      </c>
      <c r="I13">
        <v>4</v>
      </c>
      <c r="J13" t="s">
        <v>50</v>
      </c>
      <c r="K13" t="s">
        <v>24</v>
      </c>
      <c r="L13">
        <v>36</v>
      </c>
      <c r="M13" t="str">
        <f t="shared" si="0"/>
        <v>Middle Age</v>
      </c>
      <c r="N13" t="s">
        <v>18</v>
      </c>
    </row>
    <row r="14" spans="1:14" x14ac:dyDescent="0.3">
      <c r="A14">
        <v>11434</v>
      </c>
      <c r="B14" t="s">
        <v>37</v>
      </c>
      <c r="C14" t="s">
        <v>39</v>
      </c>
      <c r="D14" s="1">
        <v>170000</v>
      </c>
      <c r="E14">
        <v>5</v>
      </c>
      <c r="F14" t="s">
        <v>19</v>
      </c>
      <c r="G14" t="s">
        <v>21</v>
      </c>
      <c r="H14" t="s">
        <v>15</v>
      </c>
      <c r="I14">
        <v>0</v>
      </c>
      <c r="J14" t="s">
        <v>16</v>
      </c>
      <c r="K14" t="s">
        <v>17</v>
      </c>
      <c r="L14">
        <v>55</v>
      </c>
      <c r="M14" t="str">
        <f t="shared" si="0"/>
        <v>Middle Age</v>
      </c>
      <c r="N14" t="s">
        <v>18</v>
      </c>
    </row>
    <row r="15" spans="1:14" x14ac:dyDescent="0.3">
      <c r="A15">
        <v>25323</v>
      </c>
      <c r="B15" t="s">
        <v>37</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38</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38</v>
      </c>
      <c r="C17" t="s">
        <v>40</v>
      </c>
      <c r="D17" s="1">
        <v>10000</v>
      </c>
      <c r="E17">
        <v>2</v>
      </c>
      <c r="F17" t="s">
        <v>27</v>
      </c>
      <c r="G17" t="s">
        <v>25</v>
      </c>
      <c r="H17" t="s">
        <v>15</v>
      </c>
      <c r="I17">
        <v>1</v>
      </c>
      <c r="J17" t="s">
        <v>16</v>
      </c>
      <c r="K17" t="s">
        <v>17</v>
      </c>
      <c r="L17">
        <v>38</v>
      </c>
      <c r="M17" t="str">
        <f t="shared" si="0"/>
        <v>Middle Age</v>
      </c>
      <c r="N17" t="s">
        <v>15</v>
      </c>
    </row>
    <row r="18" spans="1:14" x14ac:dyDescent="0.3">
      <c r="A18">
        <v>23316</v>
      </c>
      <c r="B18" t="s">
        <v>38</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37</v>
      </c>
      <c r="C19" t="s">
        <v>40</v>
      </c>
      <c r="D19" s="1">
        <v>30000</v>
      </c>
      <c r="E19">
        <v>1</v>
      </c>
      <c r="F19" t="s">
        <v>13</v>
      </c>
      <c r="G19" t="s">
        <v>20</v>
      </c>
      <c r="H19" t="s">
        <v>15</v>
      </c>
      <c r="I19">
        <v>0</v>
      </c>
      <c r="J19" t="s">
        <v>16</v>
      </c>
      <c r="K19" t="s">
        <v>17</v>
      </c>
      <c r="L19">
        <v>47</v>
      </c>
      <c r="M19" t="str">
        <f t="shared" si="0"/>
        <v>Middle Age</v>
      </c>
      <c r="N19" t="s">
        <v>18</v>
      </c>
    </row>
    <row r="20" spans="1:14" x14ac:dyDescent="0.3">
      <c r="A20">
        <v>27183</v>
      </c>
      <c r="B20" t="s">
        <v>38</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38</v>
      </c>
      <c r="C21" t="s">
        <v>39</v>
      </c>
      <c r="D21" s="1">
        <v>20000</v>
      </c>
      <c r="E21">
        <v>2</v>
      </c>
      <c r="F21" t="s">
        <v>29</v>
      </c>
      <c r="G21" t="s">
        <v>20</v>
      </c>
      <c r="H21" t="s">
        <v>15</v>
      </c>
      <c r="I21">
        <v>2</v>
      </c>
      <c r="J21" t="s">
        <v>23</v>
      </c>
      <c r="K21" t="s">
        <v>24</v>
      </c>
      <c r="L21">
        <v>55</v>
      </c>
      <c r="M21" t="str">
        <f t="shared" si="0"/>
        <v>Middle Age</v>
      </c>
      <c r="N21" t="s">
        <v>15</v>
      </c>
    </row>
    <row r="22" spans="1:14" x14ac:dyDescent="0.3">
      <c r="A22">
        <v>25598</v>
      </c>
      <c r="B22" t="s">
        <v>37</v>
      </c>
      <c r="C22" t="s">
        <v>40</v>
      </c>
      <c r="D22" s="1">
        <v>40000</v>
      </c>
      <c r="E22">
        <v>0</v>
      </c>
      <c r="F22" t="s">
        <v>31</v>
      </c>
      <c r="G22" t="s">
        <v>20</v>
      </c>
      <c r="H22" t="s">
        <v>15</v>
      </c>
      <c r="I22">
        <v>0</v>
      </c>
      <c r="J22" t="s">
        <v>16</v>
      </c>
      <c r="K22" t="s">
        <v>17</v>
      </c>
      <c r="L22">
        <v>36</v>
      </c>
      <c r="M22" t="str">
        <f t="shared" si="0"/>
        <v>Middle Age</v>
      </c>
      <c r="N22" t="s">
        <v>15</v>
      </c>
    </row>
    <row r="23" spans="1:14" x14ac:dyDescent="0.3">
      <c r="A23">
        <v>21564</v>
      </c>
      <c r="B23" t="s">
        <v>38</v>
      </c>
      <c r="C23" t="s">
        <v>40</v>
      </c>
      <c r="D23" s="1">
        <v>80000</v>
      </c>
      <c r="E23">
        <v>0</v>
      </c>
      <c r="F23" t="s">
        <v>13</v>
      </c>
      <c r="G23" t="s">
        <v>21</v>
      </c>
      <c r="H23" t="s">
        <v>15</v>
      </c>
      <c r="I23">
        <v>4</v>
      </c>
      <c r="J23" t="s">
        <v>50</v>
      </c>
      <c r="K23" t="s">
        <v>24</v>
      </c>
      <c r="L23">
        <v>35</v>
      </c>
      <c r="M23" t="str">
        <f t="shared" si="0"/>
        <v>Middle Age</v>
      </c>
      <c r="N23" t="s">
        <v>18</v>
      </c>
    </row>
    <row r="24" spans="1:14" x14ac:dyDescent="0.3">
      <c r="A24">
        <v>19193</v>
      </c>
      <c r="B24" t="s">
        <v>38</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37</v>
      </c>
      <c r="C25" t="s">
        <v>40</v>
      </c>
      <c r="D25" s="1">
        <v>80000</v>
      </c>
      <c r="E25">
        <v>5</v>
      </c>
      <c r="F25" t="s">
        <v>27</v>
      </c>
      <c r="G25" t="s">
        <v>28</v>
      </c>
      <c r="H25" t="s">
        <v>18</v>
      </c>
      <c r="I25">
        <v>3</v>
      </c>
      <c r="J25" t="s">
        <v>23</v>
      </c>
      <c r="K25" t="s">
        <v>17</v>
      </c>
      <c r="L25">
        <v>56</v>
      </c>
      <c r="M25" t="str">
        <f t="shared" si="0"/>
        <v>OLD</v>
      </c>
      <c r="N25" t="s">
        <v>18</v>
      </c>
    </row>
    <row r="26" spans="1:14" x14ac:dyDescent="0.3">
      <c r="A26">
        <v>27184</v>
      </c>
      <c r="B26" t="s">
        <v>38</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38</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38</v>
      </c>
      <c r="C28" t="s">
        <v>39</v>
      </c>
      <c r="D28" s="1">
        <v>30000</v>
      </c>
      <c r="E28">
        <v>0</v>
      </c>
      <c r="F28" t="s">
        <v>19</v>
      </c>
      <c r="G28" t="s">
        <v>20</v>
      </c>
      <c r="H28" t="s">
        <v>18</v>
      </c>
      <c r="I28">
        <v>1</v>
      </c>
      <c r="J28" t="s">
        <v>16</v>
      </c>
      <c r="K28" t="s">
        <v>17</v>
      </c>
      <c r="L28">
        <v>29</v>
      </c>
      <c r="M28" t="str">
        <f t="shared" si="0"/>
        <v>Adolesent</v>
      </c>
      <c r="N28" t="s">
        <v>15</v>
      </c>
    </row>
    <row r="29" spans="1:14" x14ac:dyDescent="0.3">
      <c r="A29">
        <v>18283</v>
      </c>
      <c r="B29" t="s">
        <v>38</v>
      </c>
      <c r="C29" t="s">
        <v>40</v>
      </c>
      <c r="D29" s="1">
        <v>100000</v>
      </c>
      <c r="E29">
        <v>0</v>
      </c>
      <c r="F29" t="s">
        <v>13</v>
      </c>
      <c r="G29" t="s">
        <v>21</v>
      </c>
      <c r="H29" t="s">
        <v>18</v>
      </c>
      <c r="I29">
        <v>1</v>
      </c>
      <c r="J29" t="s">
        <v>23</v>
      </c>
      <c r="K29" t="s">
        <v>24</v>
      </c>
      <c r="L29">
        <v>40</v>
      </c>
      <c r="M29" t="str">
        <f t="shared" si="0"/>
        <v>Middle Age</v>
      </c>
      <c r="N29" t="s">
        <v>18</v>
      </c>
    </row>
    <row r="30" spans="1:14" x14ac:dyDescent="0.3">
      <c r="A30">
        <v>18299</v>
      </c>
      <c r="B30" t="s">
        <v>37</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38</v>
      </c>
      <c r="C31" t="s">
        <v>40</v>
      </c>
      <c r="D31" s="1">
        <v>20000</v>
      </c>
      <c r="E31">
        <v>0</v>
      </c>
      <c r="F31" t="s">
        <v>29</v>
      </c>
      <c r="G31" t="s">
        <v>25</v>
      </c>
      <c r="H31" t="s">
        <v>18</v>
      </c>
      <c r="I31">
        <v>2</v>
      </c>
      <c r="J31" t="s">
        <v>16</v>
      </c>
      <c r="K31" t="s">
        <v>17</v>
      </c>
      <c r="L31">
        <v>32</v>
      </c>
      <c r="M31" t="str">
        <f t="shared" si="0"/>
        <v>Middle Age</v>
      </c>
      <c r="N31" t="s">
        <v>15</v>
      </c>
    </row>
    <row r="32" spans="1:14" x14ac:dyDescent="0.3">
      <c r="A32">
        <v>19273</v>
      </c>
      <c r="B32" t="s">
        <v>37</v>
      </c>
      <c r="C32" t="s">
        <v>40</v>
      </c>
      <c r="D32" s="1">
        <v>20000</v>
      </c>
      <c r="E32">
        <v>2</v>
      </c>
      <c r="F32" t="s">
        <v>19</v>
      </c>
      <c r="G32" t="s">
        <v>25</v>
      </c>
      <c r="H32" t="s">
        <v>15</v>
      </c>
      <c r="I32">
        <v>0</v>
      </c>
      <c r="J32" t="s">
        <v>16</v>
      </c>
      <c r="K32" t="s">
        <v>17</v>
      </c>
      <c r="L32">
        <v>63</v>
      </c>
      <c r="M32" t="str">
        <f t="shared" si="0"/>
        <v>OLD</v>
      </c>
      <c r="N32" t="s">
        <v>18</v>
      </c>
    </row>
    <row r="33" spans="1:14" x14ac:dyDescent="0.3">
      <c r="A33">
        <v>22400</v>
      </c>
      <c r="B33" t="s">
        <v>37</v>
      </c>
      <c r="C33" t="s">
        <v>39</v>
      </c>
      <c r="D33" s="1">
        <v>10000</v>
      </c>
      <c r="E33">
        <v>0</v>
      </c>
      <c r="F33" t="s">
        <v>19</v>
      </c>
      <c r="G33" t="s">
        <v>25</v>
      </c>
      <c r="H33" t="s">
        <v>18</v>
      </c>
      <c r="I33">
        <v>1</v>
      </c>
      <c r="J33" t="s">
        <v>16</v>
      </c>
      <c r="K33" t="s">
        <v>24</v>
      </c>
      <c r="L33">
        <v>26</v>
      </c>
      <c r="M33" t="str">
        <f t="shared" si="0"/>
        <v>Adolesent</v>
      </c>
      <c r="N33" t="s">
        <v>15</v>
      </c>
    </row>
    <row r="34" spans="1:14" x14ac:dyDescent="0.3">
      <c r="A34">
        <v>20942</v>
      </c>
      <c r="B34" t="s">
        <v>38</v>
      </c>
      <c r="C34" t="s">
        <v>40</v>
      </c>
      <c r="D34" s="1">
        <v>20000</v>
      </c>
      <c r="E34">
        <v>0</v>
      </c>
      <c r="F34" t="s">
        <v>27</v>
      </c>
      <c r="G34" t="s">
        <v>25</v>
      </c>
      <c r="H34" t="s">
        <v>18</v>
      </c>
      <c r="I34">
        <v>1</v>
      </c>
      <c r="J34" t="s">
        <v>23</v>
      </c>
      <c r="K34" t="s">
        <v>17</v>
      </c>
      <c r="L34">
        <v>31</v>
      </c>
      <c r="M34" t="str">
        <f t="shared" si="0"/>
        <v>Middle Age</v>
      </c>
      <c r="N34" t="s">
        <v>18</v>
      </c>
    </row>
    <row r="35" spans="1:14" x14ac:dyDescent="0.3">
      <c r="A35">
        <v>18484</v>
      </c>
      <c r="B35" t="s">
        <v>38</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38</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38</v>
      </c>
      <c r="C37" t="s">
        <v>40</v>
      </c>
      <c r="D37" s="1">
        <v>10000</v>
      </c>
      <c r="E37">
        <v>5</v>
      </c>
      <c r="F37" t="s">
        <v>29</v>
      </c>
      <c r="G37" t="s">
        <v>25</v>
      </c>
      <c r="H37" t="s">
        <v>18</v>
      </c>
      <c r="I37">
        <v>2</v>
      </c>
      <c r="J37" t="s">
        <v>16</v>
      </c>
      <c r="K37" t="s">
        <v>17</v>
      </c>
      <c r="L37">
        <v>41</v>
      </c>
      <c r="M37" t="str">
        <f t="shared" si="0"/>
        <v>Middle Age</v>
      </c>
      <c r="N37" t="s">
        <v>18</v>
      </c>
    </row>
    <row r="38" spans="1:14" x14ac:dyDescent="0.3">
      <c r="A38">
        <v>17891</v>
      </c>
      <c r="B38" t="s">
        <v>37</v>
      </c>
      <c r="C38" t="s">
        <v>40</v>
      </c>
      <c r="D38" s="1">
        <v>10000</v>
      </c>
      <c r="E38">
        <v>2</v>
      </c>
      <c r="F38" t="s">
        <v>19</v>
      </c>
      <c r="G38" t="s">
        <v>25</v>
      </c>
      <c r="H38" t="s">
        <v>15</v>
      </c>
      <c r="I38">
        <v>1</v>
      </c>
      <c r="J38" t="s">
        <v>16</v>
      </c>
      <c r="K38" t="s">
        <v>17</v>
      </c>
      <c r="L38">
        <v>50</v>
      </c>
      <c r="M38" t="str">
        <f t="shared" si="0"/>
        <v>Middle Age</v>
      </c>
      <c r="N38" t="s">
        <v>15</v>
      </c>
    </row>
    <row r="39" spans="1:14" x14ac:dyDescent="0.3">
      <c r="A39">
        <v>27832</v>
      </c>
      <c r="B39" t="s">
        <v>38</v>
      </c>
      <c r="C39" t="s">
        <v>40</v>
      </c>
      <c r="D39" s="1">
        <v>30000</v>
      </c>
      <c r="E39">
        <v>0</v>
      </c>
      <c r="F39" t="s">
        <v>19</v>
      </c>
      <c r="G39" t="s">
        <v>20</v>
      </c>
      <c r="H39" t="s">
        <v>18</v>
      </c>
      <c r="I39">
        <v>1</v>
      </c>
      <c r="J39" t="s">
        <v>22</v>
      </c>
      <c r="K39" t="s">
        <v>17</v>
      </c>
      <c r="L39">
        <v>30</v>
      </c>
      <c r="M39" t="str">
        <f t="shared" si="0"/>
        <v>Adolesent</v>
      </c>
      <c r="N39" t="s">
        <v>18</v>
      </c>
    </row>
    <row r="40" spans="1:14" x14ac:dyDescent="0.3">
      <c r="A40">
        <v>26863</v>
      </c>
      <c r="B40" t="s">
        <v>38</v>
      </c>
      <c r="C40" t="s">
        <v>39</v>
      </c>
      <c r="D40" s="1">
        <v>20000</v>
      </c>
      <c r="E40">
        <v>0</v>
      </c>
      <c r="F40" t="s">
        <v>27</v>
      </c>
      <c r="G40" t="s">
        <v>25</v>
      </c>
      <c r="H40" t="s">
        <v>18</v>
      </c>
      <c r="I40">
        <v>1</v>
      </c>
      <c r="J40" t="s">
        <v>22</v>
      </c>
      <c r="K40" t="s">
        <v>17</v>
      </c>
      <c r="L40">
        <v>28</v>
      </c>
      <c r="M40" t="str">
        <f t="shared" si="0"/>
        <v>Adolesent</v>
      </c>
      <c r="N40" t="s">
        <v>18</v>
      </c>
    </row>
    <row r="41" spans="1:14" x14ac:dyDescent="0.3">
      <c r="A41">
        <v>16259</v>
      </c>
      <c r="B41" t="s">
        <v>38</v>
      </c>
      <c r="C41" t="s">
        <v>40</v>
      </c>
      <c r="D41" s="1">
        <v>10000</v>
      </c>
      <c r="E41">
        <v>4</v>
      </c>
      <c r="F41" t="s">
        <v>29</v>
      </c>
      <c r="G41" t="s">
        <v>25</v>
      </c>
      <c r="H41" t="s">
        <v>15</v>
      </c>
      <c r="I41">
        <v>2</v>
      </c>
      <c r="J41" t="s">
        <v>16</v>
      </c>
      <c r="K41" t="s">
        <v>17</v>
      </c>
      <c r="L41">
        <v>40</v>
      </c>
      <c r="M41" t="str">
        <f t="shared" si="0"/>
        <v>Middle Age</v>
      </c>
      <c r="N41" t="s">
        <v>15</v>
      </c>
    </row>
    <row r="42" spans="1:14" x14ac:dyDescent="0.3">
      <c r="A42">
        <v>27803</v>
      </c>
      <c r="B42" t="s">
        <v>38</v>
      </c>
      <c r="C42" t="s">
        <v>40</v>
      </c>
      <c r="D42" s="1">
        <v>30000</v>
      </c>
      <c r="E42">
        <v>2</v>
      </c>
      <c r="F42" t="s">
        <v>19</v>
      </c>
      <c r="G42" t="s">
        <v>20</v>
      </c>
      <c r="H42" t="s">
        <v>18</v>
      </c>
      <c r="I42">
        <v>0</v>
      </c>
      <c r="J42" t="s">
        <v>16</v>
      </c>
      <c r="K42" t="s">
        <v>17</v>
      </c>
      <c r="L42">
        <v>43</v>
      </c>
      <c r="M42" t="str">
        <f t="shared" si="0"/>
        <v>Middle Age</v>
      </c>
      <c r="N42" t="s">
        <v>18</v>
      </c>
    </row>
    <row r="43" spans="1:14" x14ac:dyDescent="0.3">
      <c r="A43">
        <v>14347</v>
      </c>
      <c r="B43" t="s">
        <v>38</v>
      </c>
      <c r="C43" t="s">
        <v>40</v>
      </c>
      <c r="D43" s="1">
        <v>40000</v>
      </c>
      <c r="E43">
        <v>2</v>
      </c>
      <c r="F43" t="s">
        <v>13</v>
      </c>
      <c r="G43" t="s">
        <v>28</v>
      </c>
      <c r="H43" t="s">
        <v>15</v>
      </c>
      <c r="I43">
        <v>2</v>
      </c>
      <c r="J43" t="s">
        <v>23</v>
      </c>
      <c r="K43" t="s">
        <v>24</v>
      </c>
      <c r="L43">
        <v>65</v>
      </c>
      <c r="M43" t="str">
        <f t="shared" si="0"/>
        <v>OLD</v>
      </c>
      <c r="N43" t="s">
        <v>15</v>
      </c>
    </row>
    <row r="44" spans="1:14" x14ac:dyDescent="0.3">
      <c r="A44">
        <v>17703</v>
      </c>
      <c r="B44" t="s">
        <v>37</v>
      </c>
      <c r="C44" t="s">
        <v>40</v>
      </c>
      <c r="D44" s="1">
        <v>10000</v>
      </c>
      <c r="E44">
        <v>1</v>
      </c>
      <c r="F44" t="s">
        <v>31</v>
      </c>
      <c r="G44" t="s">
        <v>25</v>
      </c>
      <c r="H44" t="s">
        <v>15</v>
      </c>
      <c r="I44">
        <v>0</v>
      </c>
      <c r="J44" t="s">
        <v>16</v>
      </c>
      <c r="K44" t="s">
        <v>17</v>
      </c>
      <c r="L44">
        <v>40</v>
      </c>
      <c r="M44" t="str">
        <f t="shared" si="0"/>
        <v>Middle Age</v>
      </c>
      <c r="N44" t="s">
        <v>18</v>
      </c>
    </row>
    <row r="45" spans="1:14" x14ac:dyDescent="0.3">
      <c r="A45">
        <v>17185</v>
      </c>
      <c r="B45" t="s">
        <v>37</v>
      </c>
      <c r="C45" t="s">
        <v>40</v>
      </c>
      <c r="D45" s="1">
        <v>170000</v>
      </c>
      <c r="E45">
        <v>4</v>
      </c>
      <c r="F45" t="s">
        <v>19</v>
      </c>
      <c r="G45" t="s">
        <v>21</v>
      </c>
      <c r="H45" t="s">
        <v>18</v>
      </c>
      <c r="I45">
        <v>3</v>
      </c>
      <c r="J45" t="s">
        <v>23</v>
      </c>
      <c r="K45" t="s">
        <v>17</v>
      </c>
      <c r="L45">
        <v>48</v>
      </c>
      <c r="M45" t="str">
        <f t="shared" si="0"/>
        <v>Middle Age</v>
      </c>
      <c r="N45" t="s">
        <v>15</v>
      </c>
    </row>
    <row r="46" spans="1:14" x14ac:dyDescent="0.3">
      <c r="A46">
        <v>29380</v>
      </c>
      <c r="B46" t="s">
        <v>37</v>
      </c>
      <c r="C46" t="s">
        <v>40</v>
      </c>
      <c r="D46" s="1">
        <v>20000</v>
      </c>
      <c r="E46">
        <v>3</v>
      </c>
      <c r="F46" t="s">
        <v>27</v>
      </c>
      <c r="G46" t="s">
        <v>25</v>
      </c>
      <c r="H46" t="s">
        <v>15</v>
      </c>
      <c r="I46">
        <v>0</v>
      </c>
      <c r="J46" t="s">
        <v>16</v>
      </c>
      <c r="K46" t="s">
        <v>17</v>
      </c>
      <c r="L46">
        <v>41</v>
      </c>
      <c r="M46" t="str">
        <f t="shared" si="0"/>
        <v>Middle Age</v>
      </c>
      <c r="N46" t="s">
        <v>15</v>
      </c>
    </row>
    <row r="47" spans="1:14" x14ac:dyDescent="0.3">
      <c r="A47">
        <v>23986</v>
      </c>
      <c r="B47" t="s">
        <v>37</v>
      </c>
      <c r="C47" t="s">
        <v>40</v>
      </c>
      <c r="D47" s="1">
        <v>20000</v>
      </c>
      <c r="E47">
        <v>1</v>
      </c>
      <c r="F47" t="s">
        <v>13</v>
      </c>
      <c r="G47" t="s">
        <v>20</v>
      </c>
      <c r="H47" t="s">
        <v>15</v>
      </c>
      <c r="I47">
        <v>0</v>
      </c>
      <c r="J47" t="s">
        <v>16</v>
      </c>
      <c r="K47" t="s">
        <v>17</v>
      </c>
      <c r="L47">
        <v>66</v>
      </c>
      <c r="M47" t="str">
        <f t="shared" si="0"/>
        <v>OLD</v>
      </c>
      <c r="N47" t="s">
        <v>15</v>
      </c>
    </row>
    <row r="48" spans="1:14" x14ac:dyDescent="0.3">
      <c r="A48">
        <v>24466</v>
      </c>
      <c r="B48" t="s">
        <v>37</v>
      </c>
      <c r="C48" t="s">
        <v>40</v>
      </c>
      <c r="D48" s="1">
        <v>60000</v>
      </c>
      <c r="E48">
        <v>1</v>
      </c>
      <c r="F48" t="s">
        <v>19</v>
      </c>
      <c r="G48" t="s">
        <v>14</v>
      </c>
      <c r="H48" t="s">
        <v>15</v>
      </c>
      <c r="I48">
        <v>1</v>
      </c>
      <c r="J48" t="s">
        <v>23</v>
      </c>
      <c r="K48" t="s">
        <v>24</v>
      </c>
      <c r="L48">
        <v>46</v>
      </c>
      <c r="M48" t="str">
        <f t="shared" si="0"/>
        <v>Middle Age</v>
      </c>
      <c r="N48" t="s">
        <v>15</v>
      </c>
    </row>
    <row r="49" spans="1:14" x14ac:dyDescent="0.3">
      <c r="A49">
        <v>29097</v>
      </c>
      <c r="B49" t="s">
        <v>38</v>
      </c>
      <c r="C49" t="s">
        <v>40</v>
      </c>
      <c r="D49" s="1">
        <v>40000</v>
      </c>
      <c r="E49">
        <v>2</v>
      </c>
      <c r="F49" t="s">
        <v>19</v>
      </c>
      <c r="G49" t="s">
        <v>14</v>
      </c>
      <c r="H49" t="s">
        <v>15</v>
      </c>
      <c r="I49">
        <v>2</v>
      </c>
      <c r="J49" t="s">
        <v>23</v>
      </c>
      <c r="K49" t="s">
        <v>24</v>
      </c>
      <c r="L49">
        <v>52</v>
      </c>
      <c r="M49" t="str">
        <f t="shared" si="0"/>
        <v>Middle Age</v>
      </c>
      <c r="N49" t="s">
        <v>15</v>
      </c>
    </row>
    <row r="50" spans="1:14" x14ac:dyDescent="0.3">
      <c r="A50">
        <v>19487</v>
      </c>
      <c r="B50" t="s">
        <v>37</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38</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38</v>
      </c>
      <c r="C52" t="s">
        <v>40</v>
      </c>
      <c r="D52" s="1">
        <v>30000</v>
      </c>
      <c r="E52">
        <v>0</v>
      </c>
      <c r="F52" t="s">
        <v>19</v>
      </c>
      <c r="G52" t="s">
        <v>20</v>
      </c>
      <c r="H52" t="s">
        <v>18</v>
      </c>
      <c r="I52">
        <v>1</v>
      </c>
      <c r="J52" t="s">
        <v>16</v>
      </c>
      <c r="K52" t="s">
        <v>17</v>
      </c>
      <c r="L52">
        <v>28</v>
      </c>
      <c r="M52" t="str">
        <f t="shared" si="0"/>
        <v>Adolesent</v>
      </c>
      <c r="N52" t="s">
        <v>18</v>
      </c>
    </row>
    <row r="53" spans="1:14" x14ac:dyDescent="0.3">
      <c r="A53">
        <v>20619</v>
      </c>
      <c r="B53" t="s">
        <v>38</v>
      </c>
      <c r="C53" t="s">
        <v>39</v>
      </c>
      <c r="D53" s="1">
        <v>80000</v>
      </c>
      <c r="E53">
        <v>0</v>
      </c>
      <c r="F53" t="s">
        <v>13</v>
      </c>
      <c r="G53" t="s">
        <v>21</v>
      </c>
      <c r="H53" t="s">
        <v>18</v>
      </c>
      <c r="I53">
        <v>4</v>
      </c>
      <c r="J53" t="s">
        <v>50</v>
      </c>
      <c r="K53" t="s">
        <v>24</v>
      </c>
      <c r="L53">
        <v>35</v>
      </c>
      <c r="M53" t="str">
        <f t="shared" si="0"/>
        <v>Middle Age</v>
      </c>
      <c r="N53" t="s">
        <v>18</v>
      </c>
    </row>
    <row r="54" spans="1:14" x14ac:dyDescent="0.3">
      <c r="A54">
        <v>12558</v>
      </c>
      <c r="B54" t="s">
        <v>37</v>
      </c>
      <c r="C54" t="s">
        <v>40</v>
      </c>
      <c r="D54" s="1">
        <v>20000</v>
      </c>
      <c r="E54">
        <v>1</v>
      </c>
      <c r="F54" t="s">
        <v>13</v>
      </c>
      <c r="G54" t="s">
        <v>20</v>
      </c>
      <c r="H54" t="s">
        <v>15</v>
      </c>
      <c r="I54">
        <v>0</v>
      </c>
      <c r="J54" t="s">
        <v>16</v>
      </c>
      <c r="K54" t="s">
        <v>17</v>
      </c>
      <c r="L54">
        <v>65</v>
      </c>
      <c r="M54" t="str">
        <f t="shared" si="0"/>
        <v>OLD</v>
      </c>
      <c r="N54" t="s">
        <v>18</v>
      </c>
    </row>
    <row r="55" spans="1:14" x14ac:dyDescent="0.3">
      <c r="A55">
        <v>24871</v>
      </c>
      <c r="B55" t="s">
        <v>38</v>
      </c>
      <c r="C55" t="s">
        <v>40</v>
      </c>
      <c r="D55" s="1">
        <v>90000</v>
      </c>
      <c r="E55">
        <v>4</v>
      </c>
      <c r="F55" t="s">
        <v>27</v>
      </c>
      <c r="G55" t="s">
        <v>28</v>
      </c>
      <c r="H55" t="s">
        <v>18</v>
      </c>
      <c r="I55">
        <v>3</v>
      </c>
      <c r="J55" t="s">
        <v>23</v>
      </c>
      <c r="K55" t="s">
        <v>17</v>
      </c>
      <c r="L55">
        <v>56</v>
      </c>
      <c r="M55" t="str">
        <f t="shared" si="0"/>
        <v>OLD</v>
      </c>
      <c r="N55" t="s">
        <v>18</v>
      </c>
    </row>
    <row r="56" spans="1:14" x14ac:dyDescent="0.3">
      <c r="A56">
        <v>17319</v>
      </c>
      <c r="B56" t="s">
        <v>38</v>
      </c>
      <c r="C56" t="s">
        <v>40</v>
      </c>
      <c r="D56" s="1">
        <v>70000</v>
      </c>
      <c r="E56">
        <v>0</v>
      </c>
      <c r="F56" t="s">
        <v>13</v>
      </c>
      <c r="G56" t="s">
        <v>21</v>
      </c>
      <c r="H56" t="s">
        <v>18</v>
      </c>
      <c r="I56">
        <v>1</v>
      </c>
      <c r="J56" t="s">
        <v>23</v>
      </c>
      <c r="K56" t="s">
        <v>24</v>
      </c>
      <c r="L56">
        <v>42</v>
      </c>
      <c r="M56" t="str">
        <f t="shared" si="0"/>
        <v>Middle Age</v>
      </c>
      <c r="N56" t="s">
        <v>18</v>
      </c>
    </row>
    <row r="57" spans="1:14" x14ac:dyDescent="0.3">
      <c r="A57">
        <v>28906</v>
      </c>
      <c r="B57" t="s">
        <v>37</v>
      </c>
      <c r="C57" t="s">
        <v>39</v>
      </c>
      <c r="D57" s="1">
        <v>80000</v>
      </c>
      <c r="E57">
        <v>4</v>
      </c>
      <c r="F57" t="s">
        <v>27</v>
      </c>
      <c r="G57" t="s">
        <v>21</v>
      </c>
      <c r="H57" t="s">
        <v>15</v>
      </c>
      <c r="I57">
        <v>2</v>
      </c>
      <c r="J57" t="s">
        <v>50</v>
      </c>
      <c r="K57" t="s">
        <v>17</v>
      </c>
      <c r="L57">
        <v>54</v>
      </c>
      <c r="M57" t="str">
        <f t="shared" si="0"/>
        <v>Middle Age</v>
      </c>
      <c r="N57" t="s">
        <v>18</v>
      </c>
    </row>
    <row r="58" spans="1:14" x14ac:dyDescent="0.3">
      <c r="A58">
        <v>12808</v>
      </c>
      <c r="B58" t="s">
        <v>37</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37</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37</v>
      </c>
      <c r="C60" t="s">
        <v>40</v>
      </c>
      <c r="D60" s="1">
        <v>40000</v>
      </c>
      <c r="E60">
        <v>1</v>
      </c>
      <c r="F60" t="s">
        <v>13</v>
      </c>
      <c r="G60" t="s">
        <v>14</v>
      </c>
      <c r="H60" t="s">
        <v>15</v>
      </c>
      <c r="I60">
        <v>0</v>
      </c>
      <c r="J60" t="s">
        <v>16</v>
      </c>
      <c r="K60" t="s">
        <v>17</v>
      </c>
      <c r="L60">
        <v>43</v>
      </c>
      <c r="M60" t="str">
        <f t="shared" si="0"/>
        <v>Middle Age</v>
      </c>
      <c r="N60" t="s">
        <v>15</v>
      </c>
    </row>
    <row r="61" spans="1:14" x14ac:dyDescent="0.3">
      <c r="A61">
        <v>15580</v>
      </c>
      <c r="B61" t="s">
        <v>37</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38</v>
      </c>
      <c r="C62" t="s">
        <v>40</v>
      </c>
      <c r="D62" s="1">
        <v>10000</v>
      </c>
      <c r="E62">
        <v>1</v>
      </c>
      <c r="F62" t="s">
        <v>27</v>
      </c>
      <c r="G62" t="s">
        <v>25</v>
      </c>
      <c r="H62" t="s">
        <v>18</v>
      </c>
      <c r="I62">
        <v>1</v>
      </c>
      <c r="J62" t="s">
        <v>26</v>
      </c>
      <c r="K62" t="s">
        <v>17</v>
      </c>
      <c r="L62">
        <v>45</v>
      </c>
      <c r="M62" t="str">
        <f t="shared" si="0"/>
        <v>Middle Age</v>
      </c>
      <c r="N62" t="s">
        <v>18</v>
      </c>
    </row>
    <row r="63" spans="1:14" x14ac:dyDescent="0.3">
      <c r="A63">
        <v>19291</v>
      </c>
      <c r="B63" t="s">
        <v>38</v>
      </c>
      <c r="C63" t="s">
        <v>40</v>
      </c>
      <c r="D63" s="1">
        <v>10000</v>
      </c>
      <c r="E63">
        <v>2</v>
      </c>
      <c r="F63" t="s">
        <v>27</v>
      </c>
      <c r="G63" t="s">
        <v>25</v>
      </c>
      <c r="H63" t="s">
        <v>15</v>
      </c>
      <c r="I63">
        <v>0</v>
      </c>
      <c r="J63" t="s">
        <v>16</v>
      </c>
      <c r="K63" t="s">
        <v>17</v>
      </c>
      <c r="L63">
        <v>35</v>
      </c>
      <c r="M63" t="str">
        <f t="shared" si="0"/>
        <v>Middle Age</v>
      </c>
      <c r="N63" t="s">
        <v>18</v>
      </c>
    </row>
    <row r="64" spans="1:14" x14ac:dyDescent="0.3">
      <c r="A64">
        <v>16713</v>
      </c>
      <c r="B64" t="s">
        <v>37</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38</v>
      </c>
      <c r="C65" t="s">
        <v>39</v>
      </c>
      <c r="D65" s="1">
        <v>60000</v>
      </c>
      <c r="E65">
        <v>4</v>
      </c>
      <c r="F65" t="s">
        <v>13</v>
      </c>
      <c r="G65" t="s">
        <v>21</v>
      </c>
      <c r="H65" t="s">
        <v>15</v>
      </c>
      <c r="I65">
        <v>3</v>
      </c>
      <c r="J65" t="s">
        <v>50</v>
      </c>
      <c r="K65" t="s">
        <v>24</v>
      </c>
      <c r="L65">
        <v>41</v>
      </c>
      <c r="M65" t="str">
        <f t="shared" si="0"/>
        <v>Middle Age</v>
      </c>
      <c r="N65" t="s">
        <v>18</v>
      </c>
    </row>
    <row r="66" spans="1:14" x14ac:dyDescent="0.3">
      <c r="A66">
        <v>14927</v>
      </c>
      <c r="B66" t="s">
        <v>37</v>
      </c>
      <c r="C66" t="s">
        <v>40</v>
      </c>
      <c r="D66" s="1">
        <v>30000</v>
      </c>
      <c r="E66">
        <v>1</v>
      </c>
      <c r="F66" t="s">
        <v>13</v>
      </c>
      <c r="G66" t="s">
        <v>20</v>
      </c>
      <c r="H66" t="s">
        <v>15</v>
      </c>
      <c r="I66">
        <v>0</v>
      </c>
      <c r="J66" t="s">
        <v>16</v>
      </c>
      <c r="K66" t="s">
        <v>17</v>
      </c>
      <c r="L66">
        <v>37</v>
      </c>
      <c r="M66" t="str">
        <f t="shared" si="0"/>
        <v>Middle Age</v>
      </c>
      <c r="N66" t="s">
        <v>15</v>
      </c>
    </row>
    <row r="67" spans="1:14" x14ac:dyDescent="0.3">
      <c r="A67">
        <v>29337</v>
      </c>
      <c r="B67" t="s">
        <v>38</v>
      </c>
      <c r="C67" t="s">
        <v>39</v>
      </c>
      <c r="D67" s="1">
        <v>30000</v>
      </c>
      <c r="E67">
        <v>2</v>
      </c>
      <c r="F67" t="s">
        <v>19</v>
      </c>
      <c r="G67" t="s">
        <v>20</v>
      </c>
      <c r="H67" t="s">
        <v>15</v>
      </c>
      <c r="I67">
        <v>2</v>
      </c>
      <c r="J67" t="s">
        <v>23</v>
      </c>
      <c r="K67" t="s">
        <v>24</v>
      </c>
      <c r="L67">
        <v>68</v>
      </c>
      <c r="M67" t="str">
        <f t="shared" ref="M67:M130" si="1">IF(L67&gt;55,"OLD",IF(L67&gt;=31,"Middle Age",IF(L67&lt;31,"Adolesent","Invalid")))</f>
        <v>OLD</v>
      </c>
      <c r="N67" t="s">
        <v>18</v>
      </c>
    </row>
    <row r="68" spans="1:14" x14ac:dyDescent="0.3">
      <c r="A68">
        <v>29355</v>
      </c>
      <c r="B68" t="s">
        <v>37</v>
      </c>
      <c r="C68" t="s">
        <v>40</v>
      </c>
      <c r="D68" s="1">
        <v>40000</v>
      </c>
      <c r="E68">
        <v>0</v>
      </c>
      <c r="F68" t="s">
        <v>31</v>
      </c>
      <c r="G68" t="s">
        <v>20</v>
      </c>
      <c r="H68" t="s">
        <v>15</v>
      </c>
      <c r="I68">
        <v>0</v>
      </c>
      <c r="J68" t="s">
        <v>16</v>
      </c>
      <c r="K68" t="s">
        <v>17</v>
      </c>
      <c r="L68">
        <v>37</v>
      </c>
      <c r="M68" t="str">
        <f t="shared" si="1"/>
        <v>Middle Age</v>
      </c>
      <c r="N68" t="s">
        <v>15</v>
      </c>
    </row>
    <row r="69" spans="1:14" x14ac:dyDescent="0.3">
      <c r="A69">
        <v>25303</v>
      </c>
      <c r="B69" t="s">
        <v>38</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38</v>
      </c>
      <c r="C70" t="s">
        <v>40</v>
      </c>
      <c r="D70" s="1">
        <v>20000</v>
      </c>
      <c r="E70">
        <v>4</v>
      </c>
      <c r="F70" t="s">
        <v>27</v>
      </c>
      <c r="G70" t="s">
        <v>25</v>
      </c>
      <c r="H70" t="s">
        <v>15</v>
      </c>
      <c r="I70">
        <v>1</v>
      </c>
      <c r="J70" t="s">
        <v>16</v>
      </c>
      <c r="K70" t="s">
        <v>17</v>
      </c>
      <c r="L70">
        <v>43</v>
      </c>
      <c r="M70" t="str">
        <f t="shared" si="1"/>
        <v>Middle Age</v>
      </c>
      <c r="N70" t="s">
        <v>15</v>
      </c>
    </row>
    <row r="71" spans="1:14" x14ac:dyDescent="0.3">
      <c r="A71">
        <v>16438</v>
      </c>
      <c r="B71" t="s">
        <v>37</v>
      </c>
      <c r="C71" t="s">
        <v>40</v>
      </c>
      <c r="D71" s="1">
        <v>10000</v>
      </c>
      <c r="E71">
        <v>0</v>
      </c>
      <c r="F71" t="s">
        <v>29</v>
      </c>
      <c r="G71" t="s">
        <v>25</v>
      </c>
      <c r="H71" t="s">
        <v>18</v>
      </c>
      <c r="I71">
        <v>2</v>
      </c>
      <c r="J71" t="s">
        <v>16</v>
      </c>
      <c r="K71" t="s">
        <v>17</v>
      </c>
      <c r="L71">
        <v>30</v>
      </c>
      <c r="M71" t="str">
        <f t="shared" si="1"/>
        <v>Adolesent</v>
      </c>
      <c r="N71" t="s">
        <v>18</v>
      </c>
    </row>
    <row r="72" spans="1:14" x14ac:dyDescent="0.3">
      <c r="A72">
        <v>14238</v>
      </c>
      <c r="B72" t="s">
        <v>37</v>
      </c>
      <c r="C72" t="s">
        <v>39</v>
      </c>
      <c r="D72" s="1">
        <v>120000</v>
      </c>
      <c r="E72">
        <v>0</v>
      </c>
      <c r="F72" t="s">
        <v>29</v>
      </c>
      <c r="G72" t="s">
        <v>21</v>
      </c>
      <c r="H72" t="s">
        <v>15</v>
      </c>
      <c r="I72">
        <v>4</v>
      </c>
      <c r="J72" t="s">
        <v>50</v>
      </c>
      <c r="K72" t="s">
        <v>24</v>
      </c>
      <c r="L72">
        <v>36</v>
      </c>
      <c r="M72" t="str">
        <f t="shared" si="1"/>
        <v>Middle Age</v>
      </c>
      <c r="N72" t="s">
        <v>15</v>
      </c>
    </row>
    <row r="73" spans="1:14" x14ac:dyDescent="0.3">
      <c r="A73">
        <v>16200</v>
      </c>
      <c r="B73" t="s">
        <v>38</v>
      </c>
      <c r="C73" t="s">
        <v>40</v>
      </c>
      <c r="D73" s="1">
        <v>10000</v>
      </c>
      <c r="E73">
        <v>0</v>
      </c>
      <c r="F73" t="s">
        <v>29</v>
      </c>
      <c r="G73" t="s">
        <v>25</v>
      </c>
      <c r="H73" t="s">
        <v>18</v>
      </c>
      <c r="I73">
        <v>2</v>
      </c>
      <c r="J73" t="s">
        <v>16</v>
      </c>
      <c r="K73" t="s">
        <v>17</v>
      </c>
      <c r="L73">
        <v>35</v>
      </c>
      <c r="M73" t="str">
        <f t="shared" si="1"/>
        <v>Middle Age</v>
      </c>
      <c r="N73" t="s">
        <v>18</v>
      </c>
    </row>
    <row r="74" spans="1:14" x14ac:dyDescent="0.3">
      <c r="A74">
        <v>24857</v>
      </c>
      <c r="B74" t="s">
        <v>37</v>
      </c>
      <c r="C74" t="s">
        <v>40</v>
      </c>
      <c r="D74" s="1">
        <v>130000</v>
      </c>
      <c r="E74">
        <v>3</v>
      </c>
      <c r="F74" t="s">
        <v>27</v>
      </c>
      <c r="G74" t="s">
        <v>21</v>
      </c>
      <c r="H74" t="s">
        <v>15</v>
      </c>
      <c r="I74">
        <v>4</v>
      </c>
      <c r="J74" t="s">
        <v>16</v>
      </c>
      <c r="K74" t="s">
        <v>17</v>
      </c>
      <c r="L74">
        <v>52</v>
      </c>
      <c r="M74" t="str">
        <f t="shared" si="1"/>
        <v>Middle Age</v>
      </c>
      <c r="N74" t="s">
        <v>18</v>
      </c>
    </row>
    <row r="75" spans="1:14" x14ac:dyDescent="0.3">
      <c r="A75">
        <v>26956</v>
      </c>
      <c r="B75" t="s">
        <v>38</v>
      </c>
      <c r="C75" t="s">
        <v>40</v>
      </c>
      <c r="D75" s="1">
        <v>20000</v>
      </c>
      <c r="E75">
        <v>0</v>
      </c>
      <c r="F75" t="s">
        <v>19</v>
      </c>
      <c r="G75" t="s">
        <v>25</v>
      </c>
      <c r="H75" t="s">
        <v>18</v>
      </c>
      <c r="I75">
        <v>1</v>
      </c>
      <c r="J75" t="s">
        <v>22</v>
      </c>
      <c r="K75" t="s">
        <v>17</v>
      </c>
      <c r="L75">
        <v>36</v>
      </c>
      <c r="M75" t="str">
        <f t="shared" si="1"/>
        <v>Middle Age</v>
      </c>
      <c r="N75" t="s">
        <v>15</v>
      </c>
    </row>
    <row r="76" spans="1:14" x14ac:dyDescent="0.3">
      <c r="A76">
        <v>14517</v>
      </c>
      <c r="B76" t="s">
        <v>37</v>
      </c>
      <c r="C76" t="s">
        <v>40</v>
      </c>
      <c r="D76" s="1">
        <v>20000</v>
      </c>
      <c r="E76">
        <v>3</v>
      </c>
      <c r="F76" t="s">
        <v>27</v>
      </c>
      <c r="G76" t="s">
        <v>14</v>
      </c>
      <c r="H76" t="s">
        <v>18</v>
      </c>
      <c r="I76">
        <v>2</v>
      </c>
      <c r="J76" t="s">
        <v>26</v>
      </c>
      <c r="K76" t="s">
        <v>24</v>
      </c>
      <c r="L76">
        <v>62</v>
      </c>
      <c r="M76" t="str">
        <f t="shared" si="1"/>
        <v>OLD</v>
      </c>
      <c r="N76" t="s">
        <v>18</v>
      </c>
    </row>
    <row r="77" spans="1:14" x14ac:dyDescent="0.3">
      <c r="A77">
        <v>12678</v>
      </c>
      <c r="B77" t="s">
        <v>38</v>
      </c>
      <c r="C77" t="s">
        <v>40</v>
      </c>
      <c r="D77" s="1">
        <v>130000</v>
      </c>
      <c r="E77">
        <v>4</v>
      </c>
      <c r="F77" t="s">
        <v>27</v>
      </c>
      <c r="G77" t="s">
        <v>28</v>
      </c>
      <c r="H77" t="s">
        <v>15</v>
      </c>
      <c r="I77">
        <v>4</v>
      </c>
      <c r="J77" t="s">
        <v>16</v>
      </c>
      <c r="K77" t="s">
        <v>24</v>
      </c>
      <c r="L77">
        <v>31</v>
      </c>
      <c r="M77" t="str">
        <f t="shared" si="1"/>
        <v>Middle Age</v>
      </c>
      <c r="N77" t="s">
        <v>18</v>
      </c>
    </row>
    <row r="78" spans="1:14" x14ac:dyDescent="0.3">
      <c r="A78">
        <v>16188</v>
      </c>
      <c r="B78" t="s">
        <v>38</v>
      </c>
      <c r="C78" t="s">
        <v>40</v>
      </c>
      <c r="D78" s="1">
        <v>20000</v>
      </c>
      <c r="E78">
        <v>0</v>
      </c>
      <c r="F78" t="s">
        <v>29</v>
      </c>
      <c r="G78" t="s">
        <v>25</v>
      </c>
      <c r="H78" t="s">
        <v>18</v>
      </c>
      <c r="I78">
        <v>2</v>
      </c>
      <c r="J78" t="s">
        <v>26</v>
      </c>
      <c r="K78" t="s">
        <v>17</v>
      </c>
      <c r="L78">
        <v>26</v>
      </c>
      <c r="M78" t="str">
        <f t="shared" si="1"/>
        <v>Adolesent</v>
      </c>
      <c r="N78" t="s">
        <v>18</v>
      </c>
    </row>
    <row r="79" spans="1:14" x14ac:dyDescent="0.3">
      <c r="A79">
        <v>27969</v>
      </c>
      <c r="B79" t="s">
        <v>37</v>
      </c>
      <c r="C79" t="s">
        <v>39</v>
      </c>
      <c r="D79" s="1">
        <v>80000</v>
      </c>
      <c r="E79">
        <v>0</v>
      </c>
      <c r="F79" t="s">
        <v>13</v>
      </c>
      <c r="G79" t="s">
        <v>21</v>
      </c>
      <c r="H79" t="s">
        <v>15</v>
      </c>
      <c r="I79">
        <v>2</v>
      </c>
      <c r="J79" t="s">
        <v>50</v>
      </c>
      <c r="K79" t="s">
        <v>24</v>
      </c>
      <c r="L79">
        <v>29</v>
      </c>
      <c r="M79" t="str">
        <f t="shared" si="1"/>
        <v>Adolesent</v>
      </c>
      <c r="N79" t="s">
        <v>15</v>
      </c>
    </row>
    <row r="80" spans="1:14" x14ac:dyDescent="0.3">
      <c r="A80">
        <v>15752</v>
      </c>
      <c r="B80" t="s">
        <v>37</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38</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37</v>
      </c>
      <c r="C82" t="s">
        <v>40</v>
      </c>
      <c r="D82" s="1">
        <v>30000</v>
      </c>
      <c r="E82">
        <v>4</v>
      </c>
      <c r="F82" t="s">
        <v>31</v>
      </c>
      <c r="G82" t="s">
        <v>20</v>
      </c>
      <c r="H82" t="s">
        <v>15</v>
      </c>
      <c r="I82">
        <v>0</v>
      </c>
      <c r="J82" t="s">
        <v>16</v>
      </c>
      <c r="K82" t="s">
        <v>17</v>
      </c>
      <c r="L82">
        <v>45</v>
      </c>
      <c r="M82" t="str">
        <f t="shared" si="1"/>
        <v>Middle Age</v>
      </c>
      <c r="N82" t="s">
        <v>15</v>
      </c>
    </row>
    <row r="83" spans="1:14" x14ac:dyDescent="0.3">
      <c r="A83">
        <v>19461</v>
      </c>
      <c r="B83" t="s">
        <v>38</v>
      </c>
      <c r="C83" t="s">
        <v>40</v>
      </c>
      <c r="D83" s="1">
        <v>10000</v>
      </c>
      <c r="E83">
        <v>4</v>
      </c>
      <c r="F83" t="s">
        <v>29</v>
      </c>
      <c r="G83" t="s">
        <v>25</v>
      </c>
      <c r="H83" t="s">
        <v>15</v>
      </c>
      <c r="I83">
        <v>2</v>
      </c>
      <c r="J83" t="s">
        <v>16</v>
      </c>
      <c r="K83" t="s">
        <v>17</v>
      </c>
      <c r="L83">
        <v>40</v>
      </c>
      <c r="M83" t="str">
        <f t="shared" si="1"/>
        <v>Middle Age</v>
      </c>
      <c r="N83" t="s">
        <v>18</v>
      </c>
    </row>
    <row r="84" spans="1:14" x14ac:dyDescent="0.3">
      <c r="A84">
        <v>26941</v>
      </c>
      <c r="B84" t="s">
        <v>37</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38</v>
      </c>
      <c r="C85" t="s">
        <v>39</v>
      </c>
      <c r="D85" s="1">
        <v>20000</v>
      </c>
      <c r="E85">
        <v>0</v>
      </c>
      <c r="F85" t="s">
        <v>27</v>
      </c>
      <c r="G85" t="s">
        <v>25</v>
      </c>
      <c r="H85" t="s">
        <v>18</v>
      </c>
      <c r="I85">
        <v>1</v>
      </c>
      <c r="J85" t="s">
        <v>22</v>
      </c>
      <c r="K85" t="s">
        <v>17</v>
      </c>
      <c r="L85">
        <v>29</v>
      </c>
      <c r="M85" t="str">
        <f t="shared" si="1"/>
        <v>Adolesent</v>
      </c>
      <c r="N85" t="s">
        <v>18</v>
      </c>
    </row>
    <row r="86" spans="1:14" x14ac:dyDescent="0.3">
      <c r="A86">
        <v>24485</v>
      </c>
      <c r="B86" t="s">
        <v>38</v>
      </c>
      <c r="C86" t="s">
        <v>39</v>
      </c>
      <c r="D86" s="1">
        <v>40000</v>
      </c>
      <c r="E86">
        <v>2</v>
      </c>
      <c r="F86" t="s">
        <v>13</v>
      </c>
      <c r="G86" t="s">
        <v>28</v>
      </c>
      <c r="H86" t="s">
        <v>18</v>
      </c>
      <c r="I86">
        <v>1</v>
      </c>
      <c r="J86" t="s">
        <v>23</v>
      </c>
      <c r="K86" t="s">
        <v>24</v>
      </c>
      <c r="L86">
        <v>52</v>
      </c>
      <c r="M86" t="str">
        <f t="shared" si="1"/>
        <v>Middle Age</v>
      </c>
      <c r="N86" t="s">
        <v>15</v>
      </c>
    </row>
    <row r="87" spans="1:14" x14ac:dyDescent="0.3">
      <c r="A87">
        <v>16514</v>
      </c>
      <c r="B87" t="s">
        <v>38</v>
      </c>
      <c r="C87" t="s">
        <v>39</v>
      </c>
      <c r="D87" s="1">
        <v>10000</v>
      </c>
      <c r="E87">
        <v>0</v>
      </c>
      <c r="F87" t="s">
        <v>19</v>
      </c>
      <c r="G87" t="s">
        <v>25</v>
      </c>
      <c r="H87" t="s">
        <v>15</v>
      </c>
      <c r="I87">
        <v>1</v>
      </c>
      <c r="J87" t="s">
        <v>26</v>
      </c>
      <c r="K87" t="s">
        <v>24</v>
      </c>
      <c r="L87">
        <v>26</v>
      </c>
      <c r="M87" t="str">
        <f t="shared" si="1"/>
        <v>Adolesent</v>
      </c>
      <c r="N87" t="s">
        <v>15</v>
      </c>
    </row>
    <row r="88" spans="1:14" x14ac:dyDescent="0.3">
      <c r="A88">
        <v>17191</v>
      </c>
      <c r="B88" t="s">
        <v>38</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37</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38</v>
      </c>
      <c r="C90" t="s">
        <v>39</v>
      </c>
      <c r="D90" s="1">
        <v>30000</v>
      </c>
      <c r="E90">
        <v>0</v>
      </c>
      <c r="F90" t="s">
        <v>19</v>
      </c>
      <c r="G90" t="s">
        <v>20</v>
      </c>
      <c r="H90" t="s">
        <v>18</v>
      </c>
      <c r="I90">
        <v>1</v>
      </c>
      <c r="J90" t="s">
        <v>22</v>
      </c>
      <c r="K90" t="s">
        <v>17</v>
      </c>
      <c r="L90">
        <v>29</v>
      </c>
      <c r="M90" t="str">
        <f t="shared" si="1"/>
        <v>Adolesent</v>
      </c>
      <c r="N90" t="s">
        <v>18</v>
      </c>
    </row>
    <row r="91" spans="1:14" x14ac:dyDescent="0.3">
      <c r="A91">
        <v>25458</v>
      </c>
      <c r="B91" t="s">
        <v>37</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38</v>
      </c>
      <c r="C92" t="s">
        <v>40</v>
      </c>
      <c r="D92" s="1">
        <v>30000</v>
      </c>
      <c r="E92">
        <v>0</v>
      </c>
      <c r="F92" t="s">
        <v>19</v>
      </c>
      <c r="G92" t="s">
        <v>20</v>
      </c>
      <c r="H92" t="s">
        <v>18</v>
      </c>
      <c r="I92">
        <v>1</v>
      </c>
      <c r="J92" t="s">
        <v>16</v>
      </c>
      <c r="K92" t="s">
        <v>17</v>
      </c>
      <c r="L92">
        <v>29</v>
      </c>
      <c r="M92" t="str">
        <f t="shared" si="1"/>
        <v>Adolesent</v>
      </c>
      <c r="N92" t="s">
        <v>15</v>
      </c>
    </row>
    <row r="93" spans="1:14" x14ac:dyDescent="0.3">
      <c r="A93">
        <v>28436</v>
      </c>
      <c r="B93" t="s">
        <v>38</v>
      </c>
      <c r="C93" t="s">
        <v>39</v>
      </c>
      <c r="D93" s="1">
        <v>30000</v>
      </c>
      <c r="E93">
        <v>0</v>
      </c>
      <c r="F93" t="s">
        <v>19</v>
      </c>
      <c r="G93" t="s">
        <v>20</v>
      </c>
      <c r="H93" t="s">
        <v>18</v>
      </c>
      <c r="I93">
        <v>1</v>
      </c>
      <c r="J93" t="s">
        <v>16</v>
      </c>
      <c r="K93" t="s">
        <v>17</v>
      </c>
      <c r="L93">
        <v>30</v>
      </c>
      <c r="M93" t="str">
        <f t="shared" si="1"/>
        <v>Adolesent</v>
      </c>
      <c r="N93" t="s">
        <v>15</v>
      </c>
    </row>
    <row r="94" spans="1:14" x14ac:dyDescent="0.3">
      <c r="A94">
        <v>19562</v>
      </c>
      <c r="B94" t="s">
        <v>38</v>
      </c>
      <c r="C94" t="s">
        <v>40</v>
      </c>
      <c r="D94" s="1">
        <v>60000</v>
      </c>
      <c r="E94">
        <v>2</v>
      </c>
      <c r="F94" t="s">
        <v>13</v>
      </c>
      <c r="G94" t="s">
        <v>21</v>
      </c>
      <c r="H94" t="s">
        <v>15</v>
      </c>
      <c r="I94">
        <v>1</v>
      </c>
      <c r="J94" t="s">
        <v>22</v>
      </c>
      <c r="K94" t="s">
        <v>24</v>
      </c>
      <c r="L94">
        <v>37</v>
      </c>
      <c r="M94" t="str">
        <f t="shared" si="1"/>
        <v>Middle Age</v>
      </c>
      <c r="N94" t="s">
        <v>15</v>
      </c>
    </row>
    <row r="95" spans="1:14" x14ac:dyDescent="0.3">
      <c r="A95">
        <v>15608</v>
      </c>
      <c r="B95" t="s">
        <v>38</v>
      </c>
      <c r="C95" t="s">
        <v>40</v>
      </c>
      <c r="D95" s="1">
        <v>30000</v>
      </c>
      <c r="E95">
        <v>0</v>
      </c>
      <c r="F95" t="s">
        <v>19</v>
      </c>
      <c r="G95" t="s">
        <v>20</v>
      </c>
      <c r="H95" t="s">
        <v>18</v>
      </c>
      <c r="I95">
        <v>1</v>
      </c>
      <c r="J95" t="s">
        <v>22</v>
      </c>
      <c r="K95" t="s">
        <v>17</v>
      </c>
      <c r="L95">
        <v>33</v>
      </c>
      <c r="M95" t="str">
        <f t="shared" si="1"/>
        <v>Middle Age</v>
      </c>
      <c r="N95" t="s">
        <v>18</v>
      </c>
    </row>
    <row r="96" spans="1:14" x14ac:dyDescent="0.3">
      <c r="A96">
        <v>16487</v>
      </c>
      <c r="B96" t="s">
        <v>38</v>
      </c>
      <c r="C96" t="s">
        <v>40</v>
      </c>
      <c r="D96" s="1">
        <v>30000</v>
      </c>
      <c r="E96">
        <v>3</v>
      </c>
      <c r="F96" t="s">
        <v>27</v>
      </c>
      <c r="G96" t="s">
        <v>14</v>
      </c>
      <c r="H96" t="s">
        <v>15</v>
      </c>
      <c r="I96">
        <v>2</v>
      </c>
      <c r="J96" t="s">
        <v>23</v>
      </c>
      <c r="K96" t="s">
        <v>24</v>
      </c>
      <c r="L96">
        <v>55</v>
      </c>
      <c r="M96" t="str">
        <f t="shared" si="1"/>
        <v>Middle Age</v>
      </c>
      <c r="N96" t="s">
        <v>18</v>
      </c>
    </row>
    <row r="97" spans="1:14" x14ac:dyDescent="0.3">
      <c r="A97">
        <v>17197</v>
      </c>
      <c r="B97" t="s">
        <v>38</v>
      </c>
      <c r="C97" t="s">
        <v>40</v>
      </c>
      <c r="D97" s="1">
        <v>90000</v>
      </c>
      <c r="E97">
        <v>5</v>
      </c>
      <c r="F97" t="s">
        <v>19</v>
      </c>
      <c r="G97" t="s">
        <v>21</v>
      </c>
      <c r="H97" t="s">
        <v>15</v>
      </c>
      <c r="I97">
        <v>2</v>
      </c>
      <c r="J97" t="s">
        <v>50</v>
      </c>
      <c r="K97" t="s">
        <v>17</v>
      </c>
      <c r="L97">
        <v>62</v>
      </c>
      <c r="M97" t="str">
        <f t="shared" si="1"/>
        <v>OLD</v>
      </c>
      <c r="N97" t="s">
        <v>18</v>
      </c>
    </row>
    <row r="98" spans="1:14" x14ac:dyDescent="0.3">
      <c r="A98">
        <v>12507</v>
      </c>
      <c r="B98" t="s">
        <v>37</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37</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39</v>
      </c>
      <c r="D100" s="1">
        <v>40000</v>
      </c>
      <c r="E100">
        <v>0</v>
      </c>
      <c r="F100" t="s">
        <v>31</v>
      </c>
      <c r="G100" t="s">
        <v>20</v>
      </c>
      <c r="H100" t="s">
        <v>15</v>
      </c>
      <c r="I100">
        <v>0</v>
      </c>
      <c r="J100" t="s">
        <v>16</v>
      </c>
      <c r="K100" t="s">
        <v>17</v>
      </c>
      <c r="L100">
        <v>25</v>
      </c>
      <c r="M100" t="str">
        <f t="shared" si="1"/>
        <v>Adolesent</v>
      </c>
      <c r="N100" t="s">
        <v>15</v>
      </c>
    </row>
    <row r="101" spans="1:14" x14ac:dyDescent="0.3">
      <c r="A101">
        <v>26852</v>
      </c>
      <c r="B101" t="s">
        <v>37</v>
      </c>
      <c r="C101" t="s">
        <v>40</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40</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40</v>
      </c>
      <c r="D107" s="1">
        <v>30000</v>
      </c>
      <c r="E107">
        <v>0</v>
      </c>
      <c r="F107" t="s">
        <v>19</v>
      </c>
      <c r="G107" t="s">
        <v>20</v>
      </c>
      <c r="H107" t="s">
        <v>18</v>
      </c>
      <c r="I107">
        <v>1</v>
      </c>
      <c r="J107" t="s">
        <v>22</v>
      </c>
      <c r="K107" t="s">
        <v>17</v>
      </c>
      <c r="L107">
        <v>30</v>
      </c>
      <c r="M107" t="str">
        <f t="shared" si="1"/>
        <v>Adolesent</v>
      </c>
      <c r="N107" t="s">
        <v>18</v>
      </c>
    </row>
    <row r="108" spans="1:14" x14ac:dyDescent="0.3">
      <c r="A108">
        <v>20430</v>
      </c>
      <c r="B108" t="s">
        <v>37</v>
      </c>
      <c r="C108" t="s">
        <v>39</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40</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40</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40</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40</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40</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40</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39</v>
      </c>
      <c r="D116" s="1">
        <v>20000</v>
      </c>
      <c r="E116">
        <v>0</v>
      </c>
      <c r="F116" t="s">
        <v>13</v>
      </c>
      <c r="G116" t="s">
        <v>20</v>
      </c>
      <c r="H116" t="s">
        <v>15</v>
      </c>
      <c r="I116">
        <v>0</v>
      </c>
      <c r="J116" t="s">
        <v>16</v>
      </c>
      <c r="K116" t="s">
        <v>24</v>
      </c>
      <c r="L116">
        <v>26</v>
      </c>
      <c r="M116" t="str">
        <f t="shared" si="1"/>
        <v>Adolesent</v>
      </c>
      <c r="N116" t="s">
        <v>15</v>
      </c>
    </row>
    <row r="117" spans="1:14" x14ac:dyDescent="0.3">
      <c r="A117">
        <v>24140</v>
      </c>
      <c r="B117" t="s">
        <v>38</v>
      </c>
      <c r="C117" t="s">
        <v>39</v>
      </c>
      <c r="D117" s="1">
        <v>10000</v>
      </c>
      <c r="E117">
        <v>0</v>
      </c>
      <c r="F117" t="s">
        <v>31</v>
      </c>
      <c r="G117" t="s">
        <v>25</v>
      </c>
      <c r="H117" t="s">
        <v>18</v>
      </c>
      <c r="I117">
        <v>0</v>
      </c>
      <c r="J117" t="s">
        <v>16</v>
      </c>
      <c r="K117" t="s">
        <v>17</v>
      </c>
      <c r="L117">
        <v>30</v>
      </c>
      <c r="M117" t="str">
        <f t="shared" si="1"/>
        <v>Adolesent</v>
      </c>
      <c r="N117" t="s">
        <v>15</v>
      </c>
    </row>
    <row r="118" spans="1:14" x14ac:dyDescent="0.3">
      <c r="A118">
        <v>22496</v>
      </c>
      <c r="B118" t="s">
        <v>37</v>
      </c>
      <c r="C118" t="s">
        <v>40</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40</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40</v>
      </c>
      <c r="D121" s="1">
        <v>30000</v>
      </c>
      <c r="E121">
        <v>0</v>
      </c>
      <c r="F121" t="s">
        <v>19</v>
      </c>
      <c r="G121" t="s">
        <v>20</v>
      </c>
      <c r="H121" t="s">
        <v>18</v>
      </c>
      <c r="I121">
        <v>1</v>
      </c>
      <c r="J121" t="s">
        <v>22</v>
      </c>
      <c r="K121" t="s">
        <v>17</v>
      </c>
      <c r="L121">
        <v>29</v>
      </c>
      <c r="M121" t="str">
        <f t="shared" si="1"/>
        <v>Adolesent</v>
      </c>
      <c r="N121" t="s">
        <v>18</v>
      </c>
    </row>
    <row r="122" spans="1:14" x14ac:dyDescent="0.3">
      <c r="A122">
        <v>22988</v>
      </c>
      <c r="B122" t="s">
        <v>37</v>
      </c>
      <c r="C122" t="s">
        <v>40</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40</v>
      </c>
      <c r="D124" s="1">
        <v>80000</v>
      </c>
      <c r="E124">
        <v>0</v>
      </c>
      <c r="F124" t="s">
        <v>13</v>
      </c>
      <c r="G124" t="s">
        <v>21</v>
      </c>
      <c r="H124" t="s">
        <v>18</v>
      </c>
      <c r="I124">
        <v>3</v>
      </c>
      <c r="J124" t="s">
        <v>50</v>
      </c>
      <c r="K124" t="s">
        <v>24</v>
      </c>
      <c r="L124">
        <v>31</v>
      </c>
      <c r="M124" t="str">
        <f t="shared" si="1"/>
        <v>Middle Age</v>
      </c>
      <c r="N124" t="s">
        <v>18</v>
      </c>
    </row>
    <row r="125" spans="1:14" x14ac:dyDescent="0.3">
      <c r="A125">
        <v>23627</v>
      </c>
      <c r="B125" t="s">
        <v>38</v>
      </c>
      <c r="C125" t="s">
        <v>40</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40</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39</v>
      </c>
      <c r="D131" s="1">
        <v>10000</v>
      </c>
      <c r="E131">
        <v>3</v>
      </c>
      <c r="F131" t="s">
        <v>27</v>
      </c>
      <c r="G131" t="s">
        <v>25</v>
      </c>
      <c r="H131" t="s">
        <v>15</v>
      </c>
      <c r="I131">
        <v>1</v>
      </c>
      <c r="J131" t="s">
        <v>16</v>
      </c>
      <c r="K131" t="s">
        <v>17</v>
      </c>
      <c r="L131">
        <v>39</v>
      </c>
      <c r="M131" t="str">
        <f t="shared" ref="M131:M194" si="2">IF(L131&gt;55,"OLD",IF(L131&gt;=31,"Middle Age",IF(L131&lt;31,"Adolesent","Invalid")))</f>
        <v>Middle Age</v>
      </c>
      <c r="N131" t="s">
        <v>15</v>
      </c>
    </row>
    <row r="132" spans="1:14" x14ac:dyDescent="0.3">
      <c r="A132">
        <v>12993</v>
      </c>
      <c r="B132" t="s">
        <v>37</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40</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40</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40</v>
      </c>
      <c r="D140" s="1">
        <v>20000</v>
      </c>
      <c r="E140">
        <v>2</v>
      </c>
      <c r="F140" t="s">
        <v>29</v>
      </c>
      <c r="G140" t="s">
        <v>20</v>
      </c>
      <c r="H140" t="s">
        <v>15</v>
      </c>
      <c r="I140">
        <v>2</v>
      </c>
      <c r="J140" t="s">
        <v>23</v>
      </c>
      <c r="K140" t="s">
        <v>24</v>
      </c>
      <c r="L140">
        <v>55</v>
      </c>
      <c r="M140" t="str">
        <f t="shared" si="2"/>
        <v>Middle Age</v>
      </c>
      <c r="N140" t="s">
        <v>15</v>
      </c>
    </row>
    <row r="141" spans="1:14" x14ac:dyDescent="0.3">
      <c r="A141">
        <v>26547</v>
      </c>
      <c r="B141" t="s">
        <v>38</v>
      </c>
      <c r="C141" t="s">
        <v>40</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40</v>
      </c>
      <c r="D143" s="1">
        <v>10000</v>
      </c>
      <c r="E143">
        <v>0</v>
      </c>
      <c r="F143" t="s">
        <v>19</v>
      </c>
      <c r="G143" t="s">
        <v>25</v>
      </c>
      <c r="H143" t="s">
        <v>18</v>
      </c>
      <c r="I143">
        <v>1</v>
      </c>
      <c r="J143" t="s">
        <v>16</v>
      </c>
      <c r="K143" t="s">
        <v>24</v>
      </c>
      <c r="L143">
        <v>26</v>
      </c>
      <c r="M143" t="str">
        <f t="shared" si="2"/>
        <v>Adolesent</v>
      </c>
      <c r="N143" t="s">
        <v>15</v>
      </c>
    </row>
    <row r="144" spans="1:14" x14ac:dyDescent="0.3">
      <c r="A144">
        <v>14832</v>
      </c>
      <c r="B144" t="s">
        <v>37</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40</v>
      </c>
      <c r="D145" s="1">
        <v>80000</v>
      </c>
      <c r="E145">
        <v>0</v>
      </c>
      <c r="F145" t="s">
        <v>13</v>
      </c>
      <c r="G145" t="s">
        <v>21</v>
      </c>
      <c r="H145" t="s">
        <v>15</v>
      </c>
      <c r="I145">
        <v>3</v>
      </c>
      <c r="J145" t="s">
        <v>50</v>
      </c>
      <c r="K145" t="s">
        <v>24</v>
      </c>
      <c r="L145">
        <v>32</v>
      </c>
      <c r="M145" t="str">
        <f t="shared" si="2"/>
        <v>Middle Age</v>
      </c>
      <c r="N145" t="s">
        <v>18</v>
      </c>
    </row>
    <row r="146" spans="1:14" x14ac:dyDescent="0.3">
      <c r="A146">
        <v>20877</v>
      </c>
      <c r="B146" t="s">
        <v>38</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40</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40</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39</v>
      </c>
      <c r="D151" s="1">
        <v>30000</v>
      </c>
      <c r="E151">
        <v>0</v>
      </c>
      <c r="F151" t="s">
        <v>19</v>
      </c>
      <c r="G151" t="s">
        <v>20</v>
      </c>
      <c r="H151" t="s">
        <v>18</v>
      </c>
      <c r="I151">
        <v>1</v>
      </c>
      <c r="J151" t="s">
        <v>26</v>
      </c>
      <c r="K151" t="s">
        <v>17</v>
      </c>
      <c r="L151">
        <v>27</v>
      </c>
      <c r="M151" t="str">
        <f t="shared" si="2"/>
        <v>Adolesent</v>
      </c>
      <c r="N151" t="s">
        <v>18</v>
      </c>
    </row>
    <row r="152" spans="1:14" x14ac:dyDescent="0.3">
      <c r="A152">
        <v>26154</v>
      </c>
      <c r="B152" t="s">
        <v>37</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40</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40</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40</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40</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40</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40</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40</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40</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39</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39</v>
      </c>
      <c r="D166" s="1">
        <v>10000</v>
      </c>
      <c r="E166">
        <v>0</v>
      </c>
      <c r="F166" t="s">
        <v>19</v>
      </c>
      <c r="G166" t="s">
        <v>25</v>
      </c>
      <c r="H166" t="s">
        <v>15</v>
      </c>
      <c r="I166">
        <v>1</v>
      </c>
      <c r="J166" t="s">
        <v>22</v>
      </c>
      <c r="K166" t="s">
        <v>24</v>
      </c>
      <c r="L166">
        <v>25</v>
      </c>
      <c r="M166" t="str">
        <f t="shared" si="2"/>
        <v>Adolesent</v>
      </c>
      <c r="N166" t="s">
        <v>15</v>
      </c>
    </row>
    <row r="167" spans="1:14" x14ac:dyDescent="0.3">
      <c r="A167">
        <v>15465</v>
      </c>
      <c r="B167" t="s">
        <v>37</v>
      </c>
      <c r="C167" t="s">
        <v>40</v>
      </c>
      <c r="D167" s="1">
        <v>10000</v>
      </c>
      <c r="E167">
        <v>0</v>
      </c>
      <c r="F167" t="s">
        <v>19</v>
      </c>
      <c r="G167" t="s">
        <v>25</v>
      </c>
      <c r="H167" t="s">
        <v>18</v>
      </c>
      <c r="I167">
        <v>1</v>
      </c>
      <c r="J167" t="s">
        <v>16</v>
      </c>
      <c r="K167" t="s">
        <v>24</v>
      </c>
      <c r="L167">
        <v>25</v>
      </c>
      <c r="M167" t="str">
        <f t="shared" si="2"/>
        <v>Adolesent</v>
      </c>
      <c r="N167" t="s">
        <v>18</v>
      </c>
    </row>
    <row r="168" spans="1:14" x14ac:dyDescent="0.3">
      <c r="A168">
        <v>26757</v>
      </c>
      <c r="B168" t="s">
        <v>38</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39</v>
      </c>
      <c r="D169" s="1">
        <v>100000</v>
      </c>
      <c r="E169">
        <v>0</v>
      </c>
      <c r="F169" t="s">
        <v>27</v>
      </c>
      <c r="G169" t="s">
        <v>28</v>
      </c>
      <c r="H169" t="s">
        <v>15</v>
      </c>
      <c r="I169">
        <v>3</v>
      </c>
      <c r="J169" t="s">
        <v>50</v>
      </c>
      <c r="K169" t="s">
        <v>24</v>
      </c>
      <c r="L169">
        <v>35</v>
      </c>
      <c r="M169" t="str">
        <f t="shared" si="2"/>
        <v>Middle Age</v>
      </c>
      <c r="N169" t="s">
        <v>18</v>
      </c>
    </row>
    <row r="170" spans="1:14" x14ac:dyDescent="0.3">
      <c r="A170">
        <v>14058</v>
      </c>
      <c r="B170" t="s">
        <v>38</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40</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40</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40</v>
      </c>
      <c r="D175" s="1">
        <v>10000</v>
      </c>
      <c r="E175">
        <v>0</v>
      </c>
      <c r="F175" t="s">
        <v>19</v>
      </c>
      <c r="G175" t="s">
        <v>25</v>
      </c>
      <c r="H175" t="s">
        <v>15</v>
      </c>
      <c r="I175">
        <v>1</v>
      </c>
      <c r="J175" t="s">
        <v>22</v>
      </c>
      <c r="K175" t="s">
        <v>24</v>
      </c>
      <c r="L175">
        <v>27</v>
      </c>
      <c r="M175" t="str">
        <f t="shared" si="2"/>
        <v>Adolesent</v>
      </c>
      <c r="N175" t="s">
        <v>18</v>
      </c>
    </row>
    <row r="176" spans="1:14" x14ac:dyDescent="0.3">
      <c r="A176">
        <v>19442</v>
      </c>
      <c r="B176" t="s">
        <v>38</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40</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40</v>
      </c>
      <c r="D178" s="1">
        <v>20000</v>
      </c>
      <c r="E178">
        <v>0</v>
      </c>
      <c r="F178" t="s">
        <v>19</v>
      </c>
      <c r="G178" t="s">
        <v>25</v>
      </c>
      <c r="H178" t="s">
        <v>15</v>
      </c>
      <c r="I178">
        <v>0</v>
      </c>
      <c r="J178" t="s">
        <v>16</v>
      </c>
      <c r="K178" t="s">
        <v>24</v>
      </c>
      <c r="L178">
        <v>29</v>
      </c>
      <c r="M178" t="str">
        <f t="shared" si="2"/>
        <v>Adolesent</v>
      </c>
      <c r="N178" t="s">
        <v>15</v>
      </c>
    </row>
    <row r="179" spans="1:14" x14ac:dyDescent="0.3">
      <c r="A179">
        <v>27304</v>
      </c>
      <c r="B179" t="s">
        <v>38</v>
      </c>
      <c r="C179" t="s">
        <v>40</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39</v>
      </c>
      <c r="D180" s="1">
        <v>160000</v>
      </c>
      <c r="E180">
        <v>4</v>
      </c>
      <c r="F180" t="s">
        <v>19</v>
      </c>
      <c r="G180" t="s">
        <v>21</v>
      </c>
      <c r="H180" t="s">
        <v>18</v>
      </c>
      <c r="I180">
        <v>2</v>
      </c>
      <c r="J180" t="s">
        <v>50</v>
      </c>
      <c r="K180" t="s">
        <v>17</v>
      </c>
      <c r="L180">
        <v>55</v>
      </c>
      <c r="M180" t="str">
        <f t="shared" si="2"/>
        <v>Middle Age</v>
      </c>
      <c r="N180" t="s">
        <v>15</v>
      </c>
    </row>
    <row r="181" spans="1:14" x14ac:dyDescent="0.3">
      <c r="A181">
        <v>12212</v>
      </c>
      <c r="B181" t="s">
        <v>37</v>
      </c>
      <c r="C181" t="s">
        <v>40</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40</v>
      </c>
      <c r="D183" s="1">
        <v>30000</v>
      </c>
      <c r="E183">
        <v>3</v>
      </c>
      <c r="F183" t="s">
        <v>19</v>
      </c>
      <c r="G183" t="s">
        <v>20</v>
      </c>
      <c r="H183" t="s">
        <v>18</v>
      </c>
      <c r="I183">
        <v>2</v>
      </c>
      <c r="J183" t="s">
        <v>26</v>
      </c>
      <c r="K183" t="s">
        <v>24</v>
      </c>
      <c r="L183">
        <v>55</v>
      </c>
      <c r="M183" t="str">
        <f t="shared" si="2"/>
        <v>Middle Age</v>
      </c>
      <c r="N183" t="s">
        <v>15</v>
      </c>
    </row>
    <row r="184" spans="1:14" x14ac:dyDescent="0.3">
      <c r="A184">
        <v>19445</v>
      </c>
      <c r="B184" t="s">
        <v>37</v>
      </c>
      <c r="C184" t="s">
        <v>40</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40</v>
      </c>
      <c r="D186" s="1">
        <v>130000</v>
      </c>
      <c r="E186">
        <v>4</v>
      </c>
      <c r="F186" t="s">
        <v>27</v>
      </c>
      <c r="G186" t="s">
        <v>28</v>
      </c>
      <c r="H186" t="s">
        <v>18</v>
      </c>
      <c r="I186">
        <v>4</v>
      </c>
      <c r="J186" t="s">
        <v>50</v>
      </c>
      <c r="K186" t="s">
        <v>17</v>
      </c>
      <c r="L186">
        <v>58</v>
      </c>
      <c r="M186" t="str">
        <f t="shared" si="2"/>
        <v>OLD</v>
      </c>
      <c r="N186" t="s">
        <v>18</v>
      </c>
    </row>
    <row r="187" spans="1:14" x14ac:dyDescent="0.3">
      <c r="A187">
        <v>15799</v>
      </c>
      <c r="B187" t="s">
        <v>37</v>
      </c>
      <c r="C187" t="s">
        <v>40</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40</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39</v>
      </c>
      <c r="D189" s="1">
        <v>80000</v>
      </c>
      <c r="E189">
        <v>5</v>
      </c>
      <c r="F189" t="s">
        <v>19</v>
      </c>
      <c r="G189" t="s">
        <v>21</v>
      </c>
      <c r="H189" t="s">
        <v>18</v>
      </c>
      <c r="I189">
        <v>2</v>
      </c>
      <c r="J189" t="s">
        <v>50</v>
      </c>
      <c r="K189" t="s">
        <v>17</v>
      </c>
      <c r="L189">
        <v>59</v>
      </c>
      <c r="M189" t="str">
        <f t="shared" si="2"/>
        <v>OLD</v>
      </c>
      <c r="N189" t="s">
        <v>18</v>
      </c>
    </row>
    <row r="190" spans="1:14" x14ac:dyDescent="0.3">
      <c r="A190">
        <v>20606</v>
      </c>
      <c r="B190" t="s">
        <v>37</v>
      </c>
      <c r="C190" t="s">
        <v>40</v>
      </c>
      <c r="D190" s="1">
        <v>70000</v>
      </c>
      <c r="E190">
        <v>0</v>
      </c>
      <c r="F190" t="s">
        <v>13</v>
      </c>
      <c r="G190" t="s">
        <v>21</v>
      </c>
      <c r="H190" t="s">
        <v>15</v>
      </c>
      <c r="I190">
        <v>4</v>
      </c>
      <c r="J190" t="s">
        <v>50</v>
      </c>
      <c r="K190" t="s">
        <v>24</v>
      </c>
      <c r="L190">
        <v>32</v>
      </c>
      <c r="M190" t="str">
        <f t="shared" si="2"/>
        <v>Middle Age</v>
      </c>
      <c r="N190" t="s">
        <v>15</v>
      </c>
    </row>
    <row r="191" spans="1:14" x14ac:dyDescent="0.3">
      <c r="A191">
        <v>19482</v>
      </c>
      <c r="B191" t="s">
        <v>37</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39</v>
      </c>
      <c r="D192" s="1">
        <v>30000</v>
      </c>
      <c r="E192">
        <v>3</v>
      </c>
      <c r="F192" t="s">
        <v>27</v>
      </c>
      <c r="G192" t="s">
        <v>14</v>
      </c>
      <c r="H192" t="s">
        <v>15</v>
      </c>
      <c r="I192">
        <v>2</v>
      </c>
      <c r="J192" t="s">
        <v>23</v>
      </c>
      <c r="K192" t="s">
        <v>24</v>
      </c>
      <c r="L192">
        <v>55</v>
      </c>
      <c r="M192" t="str">
        <f t="shared" si="2"/>
        <v>Middle Age</v>
      </c>
      <c r="N192" t="s">
        <v>18</v>
      </c>
    </row>
    <row r="193" spans="1:14" x14ac:dyDescent="0.3">
      <c r="A193">
        <v>26944</v>
      </c>
      <c r="B193" t="s">
        <v>38</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40</v>
      </c>
      <c r="D194" s="1">
        <v>80000</v>
      </c>
      <c r="E194">
        <v>5</v>
      </c>
      <c r="F194" t="s">
        <v>13</v>
      </c>
      <c r="G194" t="s">
        <v>28</v>
      </c>
      <c r="H194" t="s">
        <v>15</v>
      </c>
      <c r="I194">
        <v>2</v>
      </c>
      <c r="J194" t="s">
        <v>50</v>
      </c>
      <c r="K194" t="s">
        <v>17</v>
      </c>
      <c r="L194">
        <v>62</v>
      </c>
      <c r="M194" t="str">
        <f t="shared" si="2"/>
        <v>OLD</v>
      </c>
      <c r="N194" t="s">
        <v>18</v>
      </c>
    </row>
    <row r="195" spans="1:14" x14ac:dyDescent="0.3">
      <c r="A195">
        <v>26032</v>
      </c>
      <c r="B195" t="s">
        <v>37</v>
      </c>
      <c r="C195" t="s">
        <v>40</v>
      </c>
      <c r="D195" s="1">
        <v>70000</v>
      </c>
      <c r="E195">
        <v>5</v>
      </c>
      <c r="F195" t="s">
        <v>13</v>
      </c>
      <c r="G195" t="s">
        <v>21</v>
      </c>
      <c r="H195" t="s">
        <v>15</v>
      </c>
      <c r="I195">
        <v>4</v>
      </c>
      <c r="J195" t="s">
        <v>50</v>
      </c>
      <c r="K195" t="s">
        <v>24</v>
      </c>
      <c r="L195">
        <v>41</v>
      </c>
      <c r="M195" t="str">
        <f t="shared" ref="M195:M258" si="3">IF(L195&gt;55,"OLD",IF(L195&gt;=31,"Middle Age",IF(L195&lt;31,"Adolesent","Invalid")))</f>
        <v>Middle Age</v>
      </c>
      <c r="N195" t="s">
        <v>18</v>
      </c>
    </row>
    <row r="196" spans="1:14" x14ac:dyDescent="0.3">
      <c r="A196">
        <v>17843</v>
      </c>
      <c r="B196" t="s">
        <v>38</v>
      </c>
      <c r="C196" t="s">
        <v>40</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39</v>
      </c>
      <c r="D197" s="1">
        <v>20000</v>
      </c>
      <c r="E197">
        <v>0</v>
      </c>
      <c r="F197" t="s">
        <v>13</v>
      </c>
      <c r="G197" t="s">
        <v>20</v>
      </c>
      <c r="H197" t="s">
        <v>15</v>
      </c>
      <c r="I197">
        <v>0</v>
      </c>
      <c r="J197" t="s">
        <v>16</v>
      </c>
      <c r="K197" t="s">
        <v>24</v>
      </c>
      <c r="L197">
        <v>25</v>
      </c>
      <c r="M197" t="str">
        <f t="shared" si="3"/>
        <v>Adolesent</v>
      </c>
      <c r="N197" t="s">
        <v>15</v>
      </c>
    </row>
    <row r="198" spans="1:14" x14ac:dyDescent="0.3">
      <c r="A198">
        <v>16209</v>
      </c>
      <c r="B198" t="s">
        <v>38</v>
      </c>
      <c r="C198" t="s">
        <v>40</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40</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39</v>
      </c>
      <c r="D201" s="1">
        <v>80000</v>
      </c>
      <c r="E201">
        <v>0</v>
      </c>
      <c r="F201" t="s">
        <v>13</v>
      </c>
      <c r="G201" t="s">
        <v>21</v>
      </c>
      <c r="H201" t="s">
        <v>18</v>
      </c>
      <c r="I201">
        <v>3</v>
      </c>
      <c r="J201" t="s">
        <v>50</v>
      </c>
      <c r="K201" t="s">
        <v>24</v>
      </c>
      <c r="L201">
        <v>33</v>
      </c>
      <c r="M201" t="str">
        <f t="shared" si="3"/>
        <v>Middle Age</v>
      </c>
      <c r="N201" t="s">
        <v>15</v>
      </c>
    </row>
    <row r="202" spans="1:14" x14ac:dyDescent="0.3">
      <c r="A202">
        <v>24584</v>
      </c>
      <c r="B202" t="s">
        <v>38</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39</v>
      </c>
      <c r="D203" s="1">
        <v>10000</v>
      </c>
      <c r="E203">
        <v>1</v>
      </c>
      <c r="F203" t="s">
        <v>27</v>
      </c>
      <c r="G203" t="s">
        <v>25</v>
      </c>
      <c r="H203" t="s">
        <v>15</v>
      </c>
      <c r="I203">
        <v>0</v>
      </c>
      <c r="J203" t="s">
        <v>22</v>
      </c>
      <c r="K203" t="s">
        <v>24</v>
      </c>
      <c r="L203">
        <v>27</v>
      </c>
      <c r="M203" t="str">
        <f t="shared" si="3"/>
        <v>Adolesent</v>
      </c>
      <c r="N203" t="s">
        <v>15</v>
      </c>
    </row>
    <row r="204" spans="1:14" x14ac:dyDescent="0.3">
      <c r="A204">
        <v>18626</v>
      </c>
      <c r="B204" t="s">
        <v>38</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40</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40</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39</v>
      </c>
      <c r="D208" s="1">
        <v>90000</v>
      </c>
      <c r="E208">
        <v>5</v>
      </c>
      <c r="F208" t="s">
        <v>19</v>
      </c>
      <c r="G208" t="s">
        <v>21</v>
      </c>
      <c r="H208" t="s">
        <v>18</v>
      </c>
      <c r="I208">
        <v>2</v>
      </c>
      <c r="J208" t="s">
        <v>50</v>
      </c>
      <c r="K208" t="s">
        <v>17</v>
      </c>
      <c r="L208">
        <v>62</v>
      </c>
      <c r="M208" t="str">
        <f t="shared" si="3"/>
        <v>OLD</v>
      </c>
      <c r="N208" t="s">
        <v>18</v>
      </c>
    </row>
    <row r="209" spans="1:14" x14ac:dyDescent="0.3">
      <c r="A209">
        <v>28729</v>
      </c>
      <c r="B209" t="s">
        <v>38</v>
      </c>
      <c r="C209" t="s">
        <v>40</v>
      </c>
      <c r="D209" s="1">
        <v>20000</v>
      </c>
      <c r="E209">
        <v>0</v>
      </c>
      <c r="F209" t="s">
        <v>29</v>
      </c>
      <c r="G209" t="s">
        <v>25</v>
      </c>
      <c r="H209" t="s">
        <v>15</v>
      </c>
      <c r="I209">
        <v>2</v>
      </c>
      <c r="J209" t="s">
        <v>26</v>
      </c>
      <c r="K209" t="s">
        <v>17</v>
      </c>
      <c r="L209">
        <v>26</v>
      </c>
      <c r="M209" t="str">
        <f t="shared" si="3"/>
        <v>Adolesent</v>
      </c>
      <c r="N209" t="s">
        <v>15</v>
      </c>
    </row>
    <row r="210" spans="1:14" x14ac:dyDescent="0.3">
      <c r="A210">
        <v>22633</v>
      </c>
      <c r="B210" t="s">
        <v>38</v>
      </c>
      <c r="C210" t="s">
        <v>40</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40</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40</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40</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40</v>
      </c>
      <c r="D214" s="1">
        <v>30000</v>
      </c>
      <c r="E214">
        <v>0</v>
      </c>
      <c r="F214" t="s">
        <v>19</v>
      </c>
      <c r="G214" t="s">
        <v>20</v>
      </c>
      <c r="H214" t="s">
        <v>18</v>
      </c>
      <c r="I214">
        <v>1</v>
      </c>
      <c r="J214" t="s">
        <v>22</v>
      </c>
      <c r="K214" t="s">
        <v>17</v>
      </c>
      <c r="L214">
        <v>30</v>
      </c>
      <c r="M214" t="str">
        <f t="shared" si="3"/>
        <v>Adolesent</v>
      </c>
      <c r="N214" t="s">
        <v>18</v>
      </c>
    </row>
    <row r="215" spans="1:14" x14ac:dyDescent="0.3">
      <c r="A215">
        <v>11451</v>
      </c>
      <c r="B215" t="s">
        <v>38</v>
      </c>
      <c r="C215" t="s">
        <v>39</v>
      </c>
      <c r="D215" s="1">
        <v>70000</v>
      </c>
      <c r="E215">
        <v>0</v>
      </c>
      <c r="F215" t="s">
        <v>13</v>
      </c>
      <c r="G215" t="s">
        <v>21</v>
      </c>
      <c r="H215" t="s">
        <v>18</v>
      </c>
      <c r="I215">
        <v>4</v>
      </c>
      <c r="J215" t="s">
        <v>50</v>
      </c>
      <c r="K215" t="s">
        <v>24</v>
      </c>
      <c r="L215">
        <v>31</v>
      </c>
      <c r="M215" t="str">
        <f t="shared" si="3"/>
        <v>Middle Age</v>
      </c>
      <c r="N215" t="s">
        <v>15</v>
      </c>
    </row>
    <row r="216" spans="1:14" x14ac:dyDescent="0.3">
      <c r="A216">
        <v>25553</v>
      </c>
      <c r="B216" t="s">
        <v>37</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39</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39</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40</v>
      </c>
      <c r="D219" s="1">
        <v>20000</v>
      </c>
      <c r="E219">
        <v>0</v>
      </c>
      <c r="F219" t="s">
        <v>29</v>
      </c>
      <c r="G219" t="s">
        <v>25</v>
      </c>
      <c r="H219" t="s">
        <v>18</v>
      </c>
      <c r="I219">
        <v>2</v>
      </c>
      <c r="J219" t="s">
        <v>16</v>
      </c>
      <c r="K219" t="s">
        <v>17</v>
      </c>
      <c r="L219">
        <v>25</v>
      </c>
      <c r="M219" t="str">
        <f t="shared" si="3"/>
        <v>Adolesent</v>
      </c>
      <c r="N219" t="s">
        <v>18</v>
      </c>
    </row>
    <row r="220" spans="1:14" x14ac:dyDescent="0.3">
      <c r="A220">
        <v>16043</v>
      </c>
      <c r="B220" t="s">
        <v>38</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39</v>
      </c>
      <c r="D221" s="1">
        <v>10000</v>
      </c>
      <c r="E221">
        <v>0</v>
      </c>
      <c r="F221" t="s">
        <v>19</v>
      </c>
      <c r="G221" t="s">
        <v>25</v>
      </c>
      <c r="H221" t="s">
        <v>15</v>
      </c>
      <c r="I221">
        <v>1</v>
      </c>
      <c r="J221" t="s">
        <v>26</v>
      </c>
      <c r="K221" t="s">
        <v>24</v>
      </c>
      <c r="L221">
        <v>26</v>
      </c>
      <c r="M221" t="str">
        <f t="shared" si="3"/>
        <v>Adolesent</v>
      </c>
      <c r="N221" t="s">
        <v>15</v>
      </c>
    </row>
    <row r="222" spans="1:14" x14ac:dyDescent="0.3">
      <c r="A222">
        <v>27696</v>
      </c>
      <c r="B222" t="s">
        <v>37</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40</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40</v>
      </c>
      <c r="D225" s="1">
        <v>70000</v>
      </c>
      <c r="E225">
        <v>5</v>
      </c>
      <c r="F225" t="s">
        <v>13</v>
      </c>
      <c r="G225" t="s">
        <v>21</v>
      </c>
      <c r="H225" t="s">
        <v>15</v>
      </c>
      <c r="I225">
        <v>4</v>
      </c>
      <c r="J225" t="s">
        <v>50</v>
      </c>
      <c r="K225" t="s">
        <v>24</v>
      </c>
      <c r="L225">
        <v>39</v>
      </c>
      <c r="M225" t="str">
        <f t="shared" si="3"/>
        <v>Middle Age</v>
      </c>
      <c r="N225" t="s">
        <v>18</v>
      </c>
    </row>
    <row r="226" spans="1:14" x14ac:dyDescent="0.3">
      <c r="A226">
        <v>19650</v>
      </c>
      <c r="B226" t="s">
        <v>37</v>
      </c>
      <c r="C226" t="s">
        <v>40</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40</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40</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39</v>
      </c>
      <c r="D231" s="1">
        <v>80000</v>
      </c>
      <c r="E231">
        <v>5</v>
      </c>
      <c r="F231" t="s">
        <v>27</v>
      </c>
      <c r="G231" t="s">
        <v>28</v>
      </c>
      <c r="H231" t="s">
        <v>15</v>
      </c>
      <c r="I231">
        <v>3</v>
      </c>
      <c r="J231" t="s">
        <v>50</v>
      </c>
      <c r="K231" t="s">
        <v>17</v>
      </c>
      <c r="L231">
        <v>57</v>
      </c>
      <c r="M231" t="str">
        <f t="shared" si="3"/>
        <v>OLD</v>
      </c>
      <c r="N231" t="s">
        <v>18</v>
      </c>
    </row>
    <row r="232" spans="1:14" x14ac:dyDescent="0.3">
      <c r="A232">
        <v>22830</v>
      </c>
      <c r="B232" t="s">
        <v>37</v>
      </c>
      <c r="C232" t="s">
        <v>39</v>
      </c>
      <c r="D232" s="1">
        <v>120000</v>
      </c>
      <c r="E232">
        <v>4</v>
      </c>
      <c r="F232" t="s">
        <v>19</v>
      </c>
      <c r="G232" t="s">
        <v>28</v>
      </c>
      <c r="H232" t="s">
        <v>15</v>
      </c>
      <c r="I232">
        <v>3</v>
      </c>
      <c r="J232" t="s">
        <v>50</v>
      </c>
      <c r="K232" t="s">
        <v>17</v>
      </c>
      <c r="L232">
        <v>56</v>
      </c>
      <c r="M232" t="str">
        <f t="shared" si="3"/>
        <v>OLD</v>
      </c>
      <c r="N232" t="s">
        <v>18</v>
      </c>
    </row>
    <row r="233" spans="1:14" x14ac:dyDescent="0.3">
      <c r="A233">
        <v>14777</v>
      </c>
      <c r="B233" t="s">
        <v>37</v>
      </c>
      <c r="C233" t="s">
        <v>40</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40</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39</v>
      </c>
      <c r="D235" s="1">
        <v>20000</v>
      </c>
      <c r="E235">
        <v>0</v>
      </c>
      <c r="F235" t="s">
        <v>13</v>
      </c>
      <c r="G235" t="s">
        <v>20</v>
      </c>
      <c r="H235" t="s">
        <v>15</v>
      </c>
      <c r="I235">
        <v>0</v>
      </c>
      <c r="J235" t="s">
        <v>16</v>
      </c>
      <c r="K235" t="s">
        <v>24</v>
      </c>
      <c r="L235">
        <v>27</v>
      </c>
      <c r="M235" t="str">
        <f t="shared" si="3"/>
        <v>Adolesent</v>
      </c>
      <c r="N235" t="s">
        <v>15</v>
      </c>
    </row>
    <row r="236" spans="1:14" x14ac:dyDescent="0.3">
      <c r="A236">
        <v>24611</v>
      </c>
      <c r="B236" t="s">
        <v>38</v>
      </c>
      <c r="C236" t="s">
        <v>39</v>
      </c>
      <c r="D236" s="1">
        <v>90000</v>
      </c>
      <c r="E236">
        <v>0</v>
      </c>
      <c r="F236" t="s">
        <v>13</v>
      </c>
      <c r="G236" t="s">
        <v>21</v>
      </c>
      <c r="H236" t="s">
        <v>18</v>
      </c>
      <c r="I236">
        <v>4</v>
      </c>
      <c r="J236" t="s">
        <v>50</v>
      </c>
      <c r="K236" t="s">
        <v>24</v>
      </c>
      <c r="L236">
        <v>35</v>
      </c>
      <c r="M236" t="str">
        <f t="shared" si="3"/>
        <v>Middle Age</v>
      </c>
      <c r="N236" t="s">
        <v>15</v>
      </c>
    </row>
    <row r="237" spans="1:14" x14ac:dyDescent="0.3">
      <c r="A237">
        <v>11340</v>
      </c>
      <c r="B237" t="s">
        <v>37</v>
      </c>
      <c r="C237" t="s">
        <v>40</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40</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40</v>
      </c>
      <c r="D239" s="1">
        <v>10000</v>
      </c>
      <c r="E239">
        <v>0</v>
      </c>
      <c r="F239" t="s">
        <v>19</v>
      </c>
      <c r="G239" t="s">
        <v>25</v>
      </c>
      <c r="H239" t="s">
        <v>18</v>
      </c>
      <c r="I239">
        <v>1</v>
      </c>
      <c r="J239" t="s">
        <v>16</v>
      </c>
      <c r="K239" t="s">
        <v>24</v>
      </c>
      <c r="L239">
        <v>26</v>
      </c>
      <c r="M239" t="str">
        <f t="shared" si="3"/>
        <v>Adolesent</v>
      </c>
      <c r="N239" t="s">
        <v>15</v>
      </c>
    </row>
    <row r="240" spans="1:14" x14ac:dyDescent="0.3">
      <c r="A240">
        <v>22006</v>
      </c>
      <c r="B240" t="s">
        <v>37</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40</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40</v>
      </c>
      <c r="D243" s="1">
        <v>30000</v>
      </c>
      <c r="E243">
        <v>3</v>
      </c>
      <c r="F243" t="s">
        <v>19</v>
      </c>
      <c r="G243" t="s">
        <v>20</v>
      </c>
      <c r="H243" t="s">
        <v>15</v>
      </c>
      <c r="I243">
        <v>2</v>
      </c>
      <c r="J243" t="s">
        <v>16</v>
      </c>
      <c r="K243" t="s">
        <v>17</v>
      </c>
      <c r="L243">
        <v>27</v>
      </c>
      <c r="M243" t="str">
        <f t="shared" si="3"/>
        <v>Adolesent</v>
      </c>
      <c r="N243" t="s">
        <v>18</v>
      </c>
    </row>
    <row r="244" spans="1:14" x14ac:dyDescent="0.3">
      <c r="A244">
        <v>23908</v>
      </c>
      <c r="B244" t="s">
        <v>38</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40</v>
      </c>
      <c r="D245" s="1">
        <v>20000</v>
      </c>
      <c r="E245">
        <v>0</v>
      </c>
      <c r="F245" t="s">
        <v>27</v>
      </c>
      <c r="G245" t="s">
        <v>25</v>
      </c>
      <c r="H245" t="s">
        <v>18</v>
      </c>
      <c r="I245">
        <v>1</v>
      </c>
      <c r="J245" t="s">
        <v>22</v>
      </c>
      <c r="K245" t="s">
        <v>17</v>
      </c>
      <c r="L245">
        <v>29</v>
      </c>
      <c r="M245" t="str">
        <f t="shared" si="3"/>
        <v>Adolesent</v>
      </c>
      <c r="N245" t="s">
        <v>18</v>
      </c>
    </row>
    <row r="246" spans="1:14" x14ac:dyDescent="0.3">
      <c r="A246">
        <v>19057</v>
      </c>
      <c r="B246" t="s">
        <v>37</v>
      </c>
      <c r="C246" t="s">
        <v>40</v>
      </c>
      <c r="D246" s="1">
        <v>120000</v>
      </c>
      <c r="E246">
        <v>3</v>
      </c>
      <c r="F246" t="s">
        <v>13</v>
      </c>
      <c r="G246" t="s">
        <v>28</v>
      </c>
      <c r="H246" t="s">
        <v>18</v>
      </c>
      <c r="I246">
        <v>2</v>
      </c>
      <c r="J246" t="s">
        <v>50</v>
      </c>
      <c r="K246" t="s">
        <v>17</v>
      </c>
      <c r="L246">
        <v>52</v>
      </c>
      <c r="M246" t="str">
        <f t="shared" si="3"/>
        <v>Middle Age</v>
      </c>
      <c r="N246" t="s">
        <v>15</v>
      </c>
    </row>
    <row r="247" spans="1:14" x14ac:dyDescent="0.3">
      <c r="A247">
        <v>18494</v>
      </c>
      <c r="B247" t="s">
        <v>37</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40</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40</v>
      </c>
      <c r="D249" s="1">
        <v>100000</v>
      </c>
      <c r="E249">
        <v>0</v>
      </c>
      <c r="F249" t="s">
        <v>27</v>
      </c>
      <c r="G249" t="s">
        <v>28</v>
      </c>
      <c r="H249" t="s">
        <v>15</v>
      </c>
      <c r="I249">
        <v>4</v>
      </c>
      <c r="J249" t="s">
        <v>50</v>
      </c>
      <c r="K249" t="s">
        <v>24</v>
      </c>
      <c r="L249">
        <v>34</v>
      </c>
      <c r="M249" t="str">
        <f t="shared" si="3"/>
        <v>Middle Age</v>
      </c>
      <c r="N249" t="s">
        <v>15</v>
      </c>
    </row>
    <row r="250" spans="1:14" x14ac:dyDescent="0.3">
      <c r="A250">
        <v>13981</v>
      </c>
      <c r="B250" t="s">
        <v>37</v>
      </c>
      <c r="C250" t="s">
        <v>40</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39</v>
      </c>
      <c r="D253" s="1">
        <v>130000</v>
      </c>
      <c r="E253">
        <v>4</v>
      </c>
      <c r="F253" t="s">
        <v>27</v>
      </c>
      <c r="G253" t="s">
        <v>21</v>
      </c>
      <c r="H253" t="s">
        <v>15</v>
      </c>
      <c r="I253">
        <v>3</v>
      </c>
      <c r="J253" t="s">
        <v>16</v>
      </c>
      <c r="K253" t="s">
        <v>17</v>
      </c>
      <c r="L253">
        <v>55</v>
      </c>
      <c r="M253" t="str">
        <f t="shared" si="3"/>
        <v>Middle Age</v>
      </c>
      <c r="N253" t="s">
        <v>18</v>
      </c>
    </row>
    <row r="254" spans="1:14" x14ac:dyDescent="0.3">
      <c r="A254">
        <v>12666</v>
      </c>
      <c r="B254" t="s">
        <v>38</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39</v>
      </c>
      <c r="D255" s="1">
        <v>100000</v>
      </c>
      <c r="E255">
        <v>3</v>
      </c>
      <c r="F255" t="s">
        <v>29</v>
      </c>
      <c r="G255" t="s">
        <v>21</v>
      </c>
      <c r="H255" t="s">
        <v>15</v>
      </c>
      <c r="I255">
        <v>0</v>
      </c>
      <c r="J255" t="s">
        <v>50</v>
      </c>
      <c r="K255" t="s">
        <v>17</v>
      </c>
      <c r="L255">
        <v>59</v>
      </c>
      <c r="M255" t="str">
        <f t="shared" si="3"/>
        <v>OLD</v>
      </c>
      <c r="N255" t="s">
        <v>15</v>
      </c>
    </row>
    <row r="256" spans="1:14" x14ac:dyDescent="0.3">
      <c r="A256">
        <v>21375</v>
      </c>
      <c r="B256" t="s">
        <v>38</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40</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40</v>
      </c>
      <c r="D259" s="1">
        <v>50000</v>
      </c>
      <c r="E259">
        <v>0</v>
      </c>
      <c r="F259" t="s">
        <v>31</v>
      </c>
      <c r="G259" t="s">
        <v>14</v>
      </c>
      <c r="H259" t="s">
        <v>15</v>
      </c>
      <c r="I259">
        <v>0</v>
      </c>
      <c r="J259" t="s">
        <v>16</v>
      </c>
      <c r="K259" t="s">
        <v>17</v>
      </c>
      <c r="L259">
        <v>36</v>
      </c>
      <c r="M259" t="str">
        <f t="shared" ref="M259:M322" si="4">IF(L259&gt;55,"OLD",IF(L259&gt;=31,"Middle Age",IF(L259&lt;31,"Adolesent","Invalid")))</f>
        <v>Middle Age</v>
      </c>
      <c r="N259" t="s">
        <v>15</v>
      </c>
    </row>
    <row r="260" spans="1:14" x14ac:dyDescent="0.3">
      <c r="A260">
        <v>14193</v>
      </c>
      <c r="B260" t="s">
        <v>38</v>
      </c>
      <c r="C260" t="s">
        <v>40</v>
      </c>
      <c r="D260" s="1">
        <v>100000</v>
      </c>
      <c r="E260">
        <v>3</v>
      </c>
      <c r="F260" t="s">
        <v>19</v>
      </c>
      <c r="G260" t="s">
        <v>28</v>
      </c>
      <c r="H260" t="s">
        <v>15</v>
      </c>
      <c r="I260">
        <v>4</v>
      </c>
      <c r="J260" t="s">
        <v>50</v>
      </c>
      <c r="K260" t="s">
        <v>17</v>
      </c>
      <c r="L260">
        <v>56</v>
      </c>
      <c r="M260" t="str">
        <f t="shared" si="4"/>
        <v>OLD</v>
      </c>
      <c r="N260" t="s">
        <v>18</v>
      </c>
    </row>
    <row r="261" spans="1:14" x14ac:dyDescent="0.3">
      <c r="A261">
        <v>12705</v>
      </c>
      <c r="B261" t="s">
        <v>37</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40</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40</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40</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40</v>
      </c>
      <c r="D265" s="1">
        <v>70000</v>
      </c>
      <c r="E265">
        <v>5</v>
      </c>
      <c r="F265" t="s">
        <v>13</v>
      </c>
      <c r="G265" t="s">
        <v>21</v>
      </c>
      <c r="H265" t="s">
        <v>15</v>
      </c>
      <c r="I265">
        <v>3</v>
      </c>
      <c r="J265" t="s">
        <v>50</v>
      </c>
      <c r="K265" t="s">
        <v>24</v>
      </c>
      <c r="L265">
        <v>39</v>
      </c>
      <c r="M265" t="str">
        <f t="shared" si="4"/>
        <v>Middle Age</v>
      </c>
      <c r="N265" t="s">
        <v>18</v>
      </c>
    </row>
    <row r="266" spans="1:14" x14ac:dyDescent="0.3">
      <c r="A266">
        <v>17964</v>
      </c>
      <c r="B266" t="s">
        <v>37</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40</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40</v>
      </c>
      <c r="D268" s="1">
        <v>20000</v>
      </c>
      <c r="E268">
        <v>5</v>
      </c>
      <c r="F268" t="s">
        <v>27</v>
      </c>
      <c r="G268" t="s">
        <v>25</v>
      </c>
      <c r="H268" t="s">
        <v>15</v>
      </c>
      <c r="I268">
        <v>2</v>
      </c>
      <c r="J268" t="s">
        <v>16</v>
      </c>
      <c r="K268" t="s">
        <v>17</v>
      </c>
      <c r="L268">
        <v>27</v>
      </c>
      <c r="M268" t="str">
        <f t="shared" si="4"/>
        <v>Adolesent</v>
      </c>
      <c r="N268" t="s">
        <v>18</v>
      </c>
    </row>
    <row r="269" spans="1:14" x14ac:dyDescent="0.3">
      <c r="A269">
        <v>13133</v>
      </c>
      <c r="B269" t="s">
        <v>38</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40</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40</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40</v>
      </c>
      <c r="D273" s="1">
        <v>20000</v>
      </c>
      <c r="E273">
        <v>0</v>
      </c>
      <c r="F273" t="s">
        <v>27</v>
      </c>
      <c r="G273" t="s">
        <v>25</v>
      </c>
      <c r="H273" t="s">
        <v>18</v>
      </c>
      <c r="I273">
        <v>1</v>
      </c>
      <c r="J273" t="s">
        <v>26</v>
      </c>
      <c r="K273" t="s">
        <v>17</v>
      </c>
      <c r="L273">
        <v>28</v>
      </c>
      <c r="M273" t="str">
        <f t="shared" si="4"/>
        <v>Adolesent</v>
      </c>
      <c r="N273" t="s">
        <v>18</v>
      </c>
    </row>
    <row r="274" spans="1:14" x14ac:dyDescent="0.3">
      <c r="A274">
        <v>24061</v>
      </c>
      <c r="B274" t="s">
        <v>37</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40</v>
      </c>
      <c r="D275" s="1">
        <v>20000</v>
      </c>
      <c r="E275">
        <v>0</v>
      </c>
      <c r="F275" t="s">
        <v>27</v>
      </c>
      <c r="G275" t="s">
        <v>25</v>
      </c>
      <c r="H275" t="s">
        <v>18</v>
      </c>
      <c r="I275">
        <v>1</v>
      </c>
      <c r="J275" t="s">
        <v>22</v>
      </c>
      <c r="K275" t="s">
        <v>17</v>
      </c>
      <c r="L275">
        <v>30</v>
      </c>
      <c r="M275" t="str">
        <f t="shared" si="4"/>
        <v>Adolesent</v>
      </c>
      <c r="N275" t="s">
        <v>18</v>
      </c>
    </row>
    <row r="276" spans="1:14" x14ac:dyDescent="0.3">
      <c r="A276">
        <v>12284</v>
      </c>
      <c r="B276" t="s">
        <v>37</v>
      </c>
      <c r="C276" t="s">
        <v>40</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40</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40</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40</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39</v>
      </c>
      <c r="D280" s="1">
        <v>100000</v>
      </c>
      <c r="E280">
        <v>0</v>
      </c>
      <c r="F280" t="s">
        <v>27</v>
      </c>
      <c r="G280" t="s">
        <v>28</v>
      </c>
      <c r="H280" t="s">
        <v>15</v>
      </c>
      <c r="I280">
        <v>3</v>
      </c>
      <c r="J280" t="s">
        <v>50</v>
      </c>
      <c r="K280" t="s">
        <v>24</v>
      </c>
      <c r="L280">
        <v>35</v>
      </c>
      <c r="M280" t="str">
        <f t="shared" si="4"/>
        <v>Middle Age</v>
      </c>
      <c r="N280" t="s">
        <v>15</v>
      </c>
    </row>
    <row r="281" spans="1:14" x14ac:dyDescent="0.3">
      <c r="A281">
        <v>16390</v>
      </c>
      <c r="B281" t="s">
        <v>38</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40</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40</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40</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40</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40</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39</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40</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40</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40</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40</v>
      </c>
      <c r="D297" s="1">
        <v>110000</v>
      </c>
      <c r="E297">
        <v>0</v>
      </c>
      <c r="F297" t="s">
        <v>19</v>
      </c>
      <c r="G297" t="s">
        <v>28</v>
      </c>
      <c r="H297" t="s">
        <v>15</v>
      </c>
      <c r="I297">
        <v>3</v>
      </c>
      <c r="J297" t="s">
        <v>50</v>
      </c>
      <c r="K297" t="s">
        <v>24</v>
      </c>
      <c r="L297">
        <v>32</v>
      </c>
      <c r="M297" t="str">
        <f t="shared" si="4"/>
        <v>Middle Age</v>
      </c>
      <c r="N297" t="s">
        <v>15</v>
      </c>
    </row>
    <row r="298" spans="1:14" x14ac:dyDescent="0.3">
      <c r="A298">
        <v>26663</v>
      </c>
      <c r="B298" t="s">
        <v>38</v>
      </c>
      <c r="C298" t="s">
        <v>40</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40</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40</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40</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40</v>
      </c>
      <c r="D303" s="1">
        <v>40000</v>
      </c>
      <c r="E303">
        <v>0</v>
      </c>
      <c r="F303" t="s">
        <v>13</v>
      </c>
      <c r="G303" t="s">
        <v>20</v>
      </c>
      <c r="H303" t="s">
        <v>18</v>
      </c>
      <c r="I303">
        <v>0</v>
      </c>
      <c r="J303" t="s">
        <v>16</v>
      </c>
      <c r="K303" t="s">
        <v>24</v>
      </c>
      <c r="L303">
        <v>28</v>
      </c>
      <c r="M303" t="str">
        <f t="shared" si="4"/>
        <v>Adolesent</v>
      </c>
      <c r="N303" t="s">
        <v>15</v>
      </c>
    </row>
    <row r="304" spans="1:14" x14ac:dyDescent="0.3">
      <c r="A304">
        <v>26928</v>
      </c>
      <c r="B304" t="s">
        <v>38</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40</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40</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39</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39</v>
      </c>
      <c r="D320" s="1">
        <v>130000</v>
      </c>
      <c r="E320">
        <v>4</v>
      </c>
      <c r="F320" t="s">
        <v>19</v>
      </c>
      <c r="G320" t="s">
        <v>21</v>
      </c>
      <c r="H320" t="s">
        <v>18</v>
      </c>
      <c r="I320">
        <v>3</v>
      </c>
      <c r="J320" t="s">
        <v>50</v>
      </c>
      <c r="K320" t="s">
        <v>17</v>
      </c>
      <c r="L320">
        <v>54</v>
      </c>
      <c r="M320" t="str">
        <f t="shared" si="4"/>
        <v>Middle Age</v>
      </c>
      <c r="N320" t="s">
        <v>18</v>
      </c>
    </row>
    <row r="321" spans="1:14" x14ac:dyDescent="0.3">
      <c r="A321">
        <v>11386</v>
      </c>
      <c r="B321" t="s">
        <v>37</v>
      </c>
      <c r="C321" t="s">
        <v>40</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40</v>
      </c>
      <c r="D323" s="1">
        <v>160000</v>
      </c>
      <c r="E323">
        <v>0</v>
      </c>
      <c r="F323" t="s">
        <v>31</v>
      </c>
      <c r="G323" t="s">
        <v>28</v>
      </c>
      <c r="H323" t="s">
        <v>18</v>
      </c>
      <c r="I323">
        <v>3</v>
      </c>
      <c r="J323" t="s">
        <v>16</v>
      </c>
      <c r="K323" t="s">
        <v>24</v>
      </c>
      <c r="L323">
        <v>47</v>
      </c>
      <c r="M323" t="str">
        <f t="shared" ref="M323:M386" si="5">IF(L323&gt;55,"OLD",IF(L323&gt;=31,"Middle Age",IF(L323&lt;31,"Adolesent","Invalid")))</f>
        <v>Middle Age</v>
      </c>
      <c r="N323" t="s">
        <v>15</v>
      </c>
    </row>
    <row r="324" spans="1:14" x14ac:dyDescent="0.3">
      <c r="A324">
        <v>16410</v>
      </c>
      <c r="B324" t="s">
        <v>38</v>
      </c>
      <c r="C324" t="s">
        <v>40</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40</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40</v>
      </c>
      <c r="D328" s="1">
        <v>20000</v>
      </c>
      <c r="E328">
        <v>0</v>
      </c>
      <c r="F328" t="s">
        <v>13</v>
      </c>
      <c r="G328" t="s">
        <v>20</v>
      </c>
      <c r="H328" t="s">
        <v>18</v>
      </c>
      <c r="I328">
        <v>0</v>
      </c>
      <c r="J328" t="s">
        <v>16</v>
      </c>
      <c r="K328" t="s">
        <v>24</v>
      </c>
      <c r="L328">
        <v>26</v>
      </c>
      <c r="M328" t="str">
        <f t="shared" si="5"/>
        <v>Adolesent</v>
      </c>
      <c r="N328" t="s">
        <v>15</v>
      </c>
    </row>
    <row r="329" spans="1:14" x14ac:dyDescent="0.3">
      <c r="A329">
        <v>28379</v>
      </c>
      <c r="B329" t="s">
        <v>37</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40</v>
      </c>
      <c r="D331" s="1">
        <v>90000</v>
      </c>
      <c r="E331">
        <v>5</v>
      </c>
      <c r="F331" t="s">
        <v>29</v>
      </c>
      <c r="G331" t="s">
        <v>14</v>
      </c>
      <c r="H331" t="s">
        <v>15</v>
      </c>
      <c r="I331">
        <v>2</v>
      </c>
      <c r="J331" t="s">
        <v>50</v>
      </c>
      <c r="K331" t="s">
        <v>17</v>
      </c>
      <c r="L331">
        <v>59</v>
      </c>
      <c r="M331" t="str">
        <f t="shared" si="5"/>
        <v>OLD</v>
      </c>
      <c r="N331" t="s">
        <v>18</v>
      </c>
    </row>
    <row r="332" spans="1:14" x14ac:dyDescent="0.3">
      <c r="A332">
        <v>24898</v>
      </c>
      <c r="B332" t="s">
        <v>38</v>
      </c>
      <c r="C332" t="s">
        <v>40</v>
      </c>
      <c r="D332" s="1">
        <v>80000</v>
      </c>
      <c r="E332">
        <v>0</v>
      </c>
      <c r="F332" t="s">
        <v>13</v>
      </c>
      <c r="G332" t="s">
        <v>21</v>
      </c>
      <c r="H332" t="s">
        <v>15</v>
      </c>
      <c r="I332">
        <v>3</v>
      </c>
      <c r="J332" t="s">
        <v>50</v>
      </c>
      <c r="K332" t="s">
        <v>24</v>
      </c>
      <c r="L332">
        <v>32</v>
      </c>
      <c r="M332" t="str">
        <f t="shared" si="5"/>
        <v>Middle Age</v>
      </c>
      <c r="N332" t="s">
        <v>18</v>
      </c>
    </row>
    <row r="333" spans="1:14" x14ac:dyDescent="0.3">
      <c r="A333">
        <v>19508</v>
      </c>
      <c r="B333" t="s">
        <v>37</v>
      </c>
      <c r="C333" t="s">
        <v>39</v>
      </c>
      <c r="D333" s="1">
        <v>10000</v>
      </c>
      <c r="E333">
        <v>0</v>
      </c>
      <c r="F333" t="s">
        <v>29</v>
      </c>
      <c r="G333" t="s">
        <v>25</v>
      </c>
      <c r="H333" t="s">
        <v>18</v>
      </c>
      <c r="I333">
        <v>2</v>
      </c>
      <c r="J333" t="s">
        <v>16</v>
      </c>
      <c r="K333" t="s">
        <v>17</v>
      </c>
      <c r="L333">
        <v>30</v>
      </c>
      <c r="M333" t="str">
        <f t="shared" si="5"/>
        <v>Adolesent</v>
      </c>
      <c r="N333" t="s">
        <v>18</v>
      </c>
    </row>
    <row r="334" spans="1:14" x14ac:dyDescent="0.3">
      <c r="A334">
        <v>11489</v>
      </c>
      <c r="B334" t="s">
        <v>38</v>
      </c>
      <c r="C334" t="s">
        <v>40</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39</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40</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39</v>
      </c>
      <c r="D342" s="1">
        <v>30000</v>
      </c>
      <c r="E342">
        <v>0</v>
      </c>
      <c r="F342" t="s">
        <v>19</v>
      </c>
      <c r="G342" t="s">
        <v>20</v>
      </c>
      <c r="H342" t="s">
        <v>15</v>
      </c>
      <c r="I342">
        <v>1</v>
      </c>
      <c r="J342" t="s">
        <v>22</v>
      </c>
      <c r="K342" t="s">
        <v>17</v>
      </c>
      <c r="L342">
        <v>30</v>
      </c>
      <c r="M342" t="str">
        <f t="shared" si="5"/>
        <v>Adolesent</v>
      </c>
      <c r="N342" t="s">
        <v>18</v>
      </c>
    </row>
    <row r="343" spans="1:14" x14ac:dyDescent="0.3">
      <c r="A343">
        <v>19174</v>
      </c>
      <c r="B343" t="s">
        <v>38</v>
      </c>
      <c r="C343" t="s">
        <v>40</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40</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40</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40</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40</v>
      </c>
      <c r="D351" s="1">
        <v>30000</v>
      </c>
      <c r="E351">
        <v>0</v>
      </c>
      <c r="F351" t="s">
        <v>19</v>
      </c>
      <c r="G351" t="s">
        <v>20</v>
      </c>
      <c r="H351" t="s">
        <v>18</v>
      </c>
      <c r="I351">
        <v>1</v>
      </c>
      <c r="J351" t="s">
        <v>16</v>
      </c>
      <c r="K351" t="s">
        <v>17</v>
      </c>
      <c r="L351">
        <v>29</v>
      </c>
      <c r="M351" t="str">
        <f t="shared" si="5"/>
        <v>Adolesent</v>
      </c>
      <c r="N351" t="s">
        <v>15</v>
      </c>
    </row>
    <row r="352" spans="1:14" x14ac:dyDescent="0.3">
      <c r="A352">
        <v>27878</v>
      </c>
      <c r="B352" t="s">
        <v>38</v>
      </c>
      <c r="C352" t="s">
        <v>39</v>
      </c>
      <c r="D352" s="1">
        <v>20000</v>
      </c>
      <c r="E352">
        <v>0</v>
      </c>
      <c r="F352" t="s">
        <v>19</v>
      </c>
      <c r="G352" t="s">
        <v>25</v>
      </c>
      <c r="H352" t="s">
        <v>18</v>
      </c>
      <c r="I352">
        <v>0</v>
      </c>
      <c r="J352" t="s">
        <v>16</v>
      </c>
      <c r="K352" t="s">
        <v>24</v>
      </c>
      <c r="L352">
        <v>28</v>
      </c>
      <c r="M352" t="str">
        <f t="shared" si="5"/>
        <v>Adolesent</v>
      </c>
      <c r="N352" t="s">
        <v>15</v>
      </c>
    </row>
    <row r="353" spans="1:14" x14ac:dyDescent="0.3">
      <c r="A353">
        <v>13572</v>
      </c>
      <c r="B353" t="s">
        <v>38</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40</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39</v>
      </c>
      <c r="D357" s="1">
        <v>80000</v>
      </c>
      <c r="E357">
        <v>0</v>
      </c>
      <c r="F357" t="s">
        <v>13</v>
      </c>
      <c r="G357" t="s">
        <v>21</v>
      </c>
      <c r="H357" t="s">
        <v>15</v>
      </c>
      <c r="I357">
        <v>3</v>
      </c>
      <c r="J357" t="s">
        <v>50</v>
      </c>
      <c r="K357" t="s">
        <v>24</v>
      </c>
      <c r="L357">
        <v>32</v>
      </c>
      <c r="M357" t="str">
        <f t="shared" si="5"/>
        <v>Middle Age</v>
      </c>
      <c r="N357" t="s">
        <v>18</v>
      </c>
    </row>
    <row r="358" spans="1:14" x14ac:dyDescent="0.3">
      <c r="A358">
        <v>23608</v>
      </c>
      <c r="B358" t="s">
        <v>37</v>
      </c>
      <c r="C358" t="s">
        <v>40</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40</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39</v>
      </c>
      <c r="D361" s="1">
        <v>80000</v>
      </c>
      <c r="E361">
        <v>0</v>
      </c>
      <c r="F361" t="s">
        <v>13</v>
      </c>
      <c r="G361" t="s">
        <v>21</v>
      </c>
      <c r="H361" t="s">
        <v>15</v>
      </c>
      <c r="I361">
        <v>3</v>
      </c>
      <c r="J361" t="s">
        <v>50</v>
      </c>
      <c r="K361" t="s">
        <v>24</v>
      </c>
      <c r="L361">
        <v>30</v>
      </c>
      <c r="M361" t="str">
        <f t="shared" si="5"/>
        <v>Adolesent</v>
      </c>
      <c r="N361" t="s">
        <v>18</v>
      </c>
    </row>
    <row r="362" spans="1:14" x14ac:dyDescent="0.3">
      <c r="A362">
        <v>13082</v>
      </c>
      <c r="B362" t="s">
        <v>38</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40</v>
      </c>
      <c r="D363" s="1">
        <v>30000</v>
      </c>
      <c r="E363">
        <v>3</v>
      </c>
      <c r="F363" t="s">
        <v>19</v>
      </c>
      <c r="G363" t="s">
        <v>20</v>
      </c>
      <c r="H363" t="s">
        <v>18</v>
      </c>
      <c r="I363">
        <v>2</v>
      </c>
      <c r="J363" t="s">
        <v>16</v>
      </c>
      <c r="K363" t="s">
        <v>17</v>
      </c>
      <c r="L363">
        <v>27</v>
      </c>
      <c r="M363" t="str">
        <f t="shared" si="5"/>
        <v>Adolesent</v>
      </c>
      <c r="N363" t="s">
        <v>15</v>
      </c>
    </row>
    <row r="364" spans="1:14" x14ac:dyDescent="0.3">
      <c r="A364">
        <v>13687</v>
      </c>
      <c r="B364" t="s">
        <v>37</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40</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40</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40</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40</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40</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40</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40</v>
      </c>
      <c r="D372" s="1">
        <v>100000</v>
      </c>
      <c r="E372">
        <v>4</v>
      </c>
      <c r="F372" t="s">
        <v>13</v>
      </c>
      <c r="G372" t="s">
        <v>21</v>
      </c>
      <c r="H372" t="s">
        <v>15</v>
      </c>
      <c r="I372">
        <v>1</v>
      </c>
      <c r="J372" t="s">
        <v>50</v>
      </c>
      <c r="K372" t="s">
        <v>24</v>
      </c>
      <c r="L372">
        <v>46</v>
      </c>
      <c r="M372" t="str">
        <f t="shared" si="5"/>
        <v>Middle Age</v>
      </c>
      <c r="N372" t="s">
        <v>18</v>
      </c>
    </row>
    <row r="373" spans="1:14" x14ac:dyDescent="0.3">
      <c r="A373">
        <v>22918</v>
      </c>
      <c r="B373" t="s">
        <v>38</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39</v>
      </c>
      <c r="D375" s="1">
        <v>20000</v>
      </c>
      <c r="E375">
        <v>0</v>
      </c>
      <c r="F375" t="s">
        <v>27</v>
      </c>
      <c r="G375" t="s">
        <v>25</v>
      </c>
      <c r="H375" t="s">
        <v>18</v>
      </c>
      <c r="I375">
        <v>1</v>
      </c>
      <c r="J375" t="s">
        <v>22</v>
      </c>
      <c r="K375" t="s">
        <v>17</v>
      </c>
      <c r="L375">
        <v>30</v>
      </c>
      <c r="M375" t="str">
        <f t="shared" si="5"/>
        <v>Adolesent</v>
      </c>
      <c r="N375" t="s">
        <v>18</v>
      </c>
    </row>
    <row r="376" spans="1:14" x14ac:dyDescent="0.3">
      <c r="A376">
        <v>16179</v>
      </c>
      <c r="B376" t="s">
        <v>38</v>
      </c>
      <c r="C376" t="s">
        <v>40</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40</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39</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39</v>
      </c>
      <c r="D382" s="1">
        <v>70000</v>
      </c>
      <c r="E382">
        <v>0</v>
      </c>
      <c r="F382" t="s">
        <v>13</v>
      </c>
      <c r="G382" t="s">
        <v>21</v>
      </c>
      <c r="H382" t="s">
        <v>18</v>
      </c>
      <c r="I382">
        <v>3</v>
      </c>
      <c r="J382" t="s">
        <v>50</v>
      </c>
      <c r="K382" t="s">
        <v>24</v>
      </c>
      <c r="L382">
        <v>30</v>
      </c>
      <c r="M382" t="str">
        <f t="shared" si="5"/>
        <v>Adolesent</v>
      </c>
      <c r="N382" t="s">
        <v>15</v>
      </c>
    </row>
    <row r="383" spans="1:14" x14ac:dyDescent="0.3">
      <c r="A383">
        <v>22974</v>
      </c>
      <c r="B383" t="s">
        <v>37</v>
      </c>
      <c r="C383" t="s">
        <v>40</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39</v>
      </c>
      <c r="D384" s="1">
        <v>80000</v>
      </c>
      <c r="E384">
        <v>4</v>
      </c>
      <c r="F384" t="s">
        <v>19</v>
      </c>
      <c r="G384" t="s">
        <v>21</v>
      </c>
      <c r="H384" t="s">
        <v>15</v>
      </c>
      <c r="I384">
        <v>2</v>
      </c>
      <c r="J384" t="s">
        <v>50</v>
      </c>
      <c r="K384" t="s">
        <v>17</v>
      </c>
      <c r="L384">
        <v>53</v>
      </c>
      <c r="M384" t="str">
        <f t="shared" si="5"/>
        <v>Middle Age</v>
      </c>
      <c r="N384" t="s">
        <v>18</v>
      </c>
    </row>
    <row r="385" spans="1:14" x14ac:dyDescent="0.3">
      <c r="A385">
        <v>17978</v>
      </c>
      <c r="B385" t="s">
        <v>37</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40</v>
      </c>
      <c r="D386" s="1">
        <v>10000</v>
      </c>
      <c r="E386">
        <v>0</v>
      </c>
      <c r="F386" t="s">
        <v>19</v>
      </c>
      <c r="G386" t="s">
        <v>25</v>
      </c>
      <c r="H386" t="s">
        <v>18</v>
      </c>
      <c r="I386">
        <v>1</v>
      </c>
      <c r="J386" t="s">
        <v>16</v>
      </c>
      <c r="K386" t="s">
        <v>24</v>
      </c>
      <c r="L386">
        <v>28</v>
      </c>
      <c r="M386" t="str">
        <f t="shared" si="5"/>
        <v>Adolesent</v>
      </c>
      <c r="N386" t="s">
        <v>15</v>
      </c>
    </row>
    <row r="387" spans="1:14" x14ac:dyDescent="0.3">
      <c r="A387">
        <v>18018</v>
      </c>
      <c r="B387" t="s">
        <v>38</v>
      </c>
      <c r="C387" t="s">
        <v>39</v>
      </c>
      <c r="D387" s="1">
        <v>30000</v>
      </c>
      <c r="E387">
        <v>3</v>
      </c>
      <c r="F387" t="s">
        <v>19</v>
      </c>
      <c r="G387" t="s">
        <v>20</v>
      </c>
      <c r="H387" t="s">
        <v>15</v>
      </c>
      <c r="I387">
        <v>0</v>
      </c>
      <c r="J387" t="s">
        <v>16</v>
      </c>
      <c r="K387" t="s">
        <v>17</v>
      </c>
      <c r="L387">
        <v>43</v>
      </c>
      <c r="M387" t="str">
        <f t="shared" ref="M387:M450" si="6">IF(L387&gt;55,"OLD",IF(L387&gt;=31,"Middle Age",IF(L387&lt;31,"Adolesent","Invalid")))</f>
        <v>Middle Age</v>
      </c>
      <c r="N387" t="s">
        <v>18</v>
      </c>
    </row>
    <row r="388" spans="1:14" x14ac:dyDescent="0.3">
      <c r="A388">
        <v>28957</v>
      </c>
      <c r="B388" t="s">
        <v>38</v>
      </c>
      <c r="C388" t="s">
        <v>40</v>
      </c>
      <c r="D388" s="1">
        <v>120000</v>
      </c>
      <c r="E388">
        <v>0</v>
      </c>
      <c r="F388" t="s">
        <v>29</v>
      </c>
      <c r="G388" t="s">
        <v>21</v>
      </c>
      <c r="H388" t="s">
        <v>15</v>
      </c>
      <c r="I388">
        <v>4</v>
      </c>
      <c r="J388" t="s">
        <v>50</v>
      </c>
      <c r="K388" t="s">
        <v>24</v>
      </c>
      <c r="L388">
        <v>34</v>
      </c>
      <c r="M388" t="str">
        <f t="shared" si="6"/>
        <v>Middle Age</v>
      </c>
      <c r="N388" t="s">
        <v>15</v>
      </c>
    </row>
    <row r="389" spans="1:14" x14ac:dyDescent="0.3">
      <c r="A389">
        <v>13690</v>
      </c>
      <c r="B389" t="s">
        <v>38</v>
      </c>
      <c r="C389" t="s">
        <v>40</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40</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40</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40</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39</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40</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40</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40</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40</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40</v>
      </c>
      <c r="D402" s="1">
        <v>110000</v>
      </c>
      <c r="E402">
        <v>3</v>
      </c>
      <c r="F402" t="s">
        <v>13</v>
      </c>
      <c r="G402" t="s">
        <v>28</v>
      </c>
      <c r="H402" t="s">
        <v>15</v>
      </c>
      <c r="I402">
        <v>4</v>
      </c>
      <c r="J402" t="s">
        <v>50</v>
      </c>
      <c r="K402" t="s">
        <v>17</v>
      </c>
      <c r="L402">
        <v>53</v>
      </c>
      <c r="M402" t="str">
        <f t="shared" si="6"/>
        <v>Middle Age</v>
      </c>
      <c r="N402" t="s">
        <v>18</v>
      </c>
    </row>
    <row r="403" spans="1:14" x14ac:dyDescent="0.3">
      <c r="A403">
        <v>11555</v>
      </c>
      <c r="B403" t="s">
        <v>37</v>
      </c>
      <c r="C403" t="s">
        <v>40</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40</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40</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40</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40</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40</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40</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40</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40</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40</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40</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40</v>
      </c>
      <c r="D422" s="1">
        <v>100000</v>
      </c>
      <c r="E422">
        <v>2</v>
      </c>
      <c r="F422" t="s">
        <v>13</v>
      </c>
      <c r="G422" t="s">
        <v>28</v>
      </c>
      <c r="H422" t="s">
        <v>15</v>
      </c>
      <c r="I422">
        <v>4</v>
      </c>
      <c r="J422" t="s">
        <v>50</v>
      </c>
      <c r="K422" t="s">
        <v>17</v>
      </c>
      <c r="L422">
        <v>59</v>
      </c>
      <c r="M422" t="str">
        <f t="shared" si="6"/>
        <v>OLD</v>
      </c>
      <c r="N422" t="s">
        <v>18</v>
      </c>
    </row>
    <row r="423" spans="1:14" x14ac:dyDescent="0.3">
      <c r="A423">
        <v>14547</v>
      </c>
      <c r="B423" t="s">
        <v>37</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39</v>
      </c>
      <c r="D424" s="1">
        <v>110000</v>
      </c>
      <c r="E424">
        <v>0</v>
      </c>
      <c r="F424" t="s">
        <v>19</v>
      </c>
      <c r="G424" t="s">
        <v>28</v>
      </c>
      <c r="H424" t="s">
        <v>18</v>
      </c>
      <c r="I424">
        <v>3</v>
      </c>
      <c r="J424" t="s">
        <v>50</v>
      </c>
      <c r="K424" t="s">
        <v>24</v>
      </c>
      <c r="L424">
        <v>32</v>
      </c>
      <c r="M424" t="str">
        <f t="shared" si="6"/>
        <v>Middle Age</v>
      </c>
      <c r="N424" t="s">
        <v>15</v>
      </c>
    </row>
    <row r="425" spans="1:14" x14ac:dyDescent="0.3">
      <c r="A425">
        <v>27169</v>
      </c>
      <c r="B425" t="s">
        <v>38</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40</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39</v>
      </c>
      <c r="D428" s="1">
        <v>30000</v>
      </c>
      <c r="E428">
        <v>0</v>
      </c>
      <c r="F428" t="s">
        <v>19</v>
      </c>
      <c r="G428" t="s">
        <v>20</v>
      </c>
      <c r="H428" t="s">
        <v>18</v>
      </c>
      <c r="I428">
        <v>1</v>
      </c>
      <c r="J428" t="s">
        <v>22</v>
      </c>
      <c r="K428" t="s">
        <v>17</v>
      </c>
      <c r="L428">
        <v>28</v>
      </c>
      <c r="M428" t="str">
        <f t="shared" si="6"/>
        <v>Adolesent</v>
      </c>
      <c r="N428" t="s">
        <v>18</v>
      </c>
    </row>
    <row r="429" spans="1:14" x14ac:dyDescent="0.3">
      <c r="A429">
        <v>17048</v>
      </c>
      <c r="B429" t="s">
        <v>38</v>
      </c>
      <c r="C429" t="s">
        <v>40</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40</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40</v>
      </c>
      <c r="D432" s="1">
        <v>30000</v>
      </c>
      <c r="E432">
        <v>3</v>
      </c>
      <c r="F432" t="s">
        <v>27</v>
      </c>
      <c r="G432" t="s">
        <v>14</v>
      </c>
      <c r="H432" t="s">
        <v>15</v>
      </c>
      <c r="I432">
        <v>2</v>
      </c>
      <c r="J432" t="s">
        <v>23</v>
      </c>
      <c r="K432" t="s">
        <v>24</v>
      </c>
      <c r="L432">
        <v>55</v>
      </c>
      <c r="M432" t="str">
        <f t="shared" si="6"/>
        <v>Middle Age</v>
      </c>
      <c r="N432" t="s">
        <v>18</v>
      </c>
    </row>
    <row r="433" spans="1:14" x14ac:dyDescent="0.3">
      <c r="A433">
        <v>28488</v>
      </c>
      <c r="B433" t="s">
        <v>38</v>
      </c>
      <c r="C433" t="s">
        <v>39</v>
      </c>
      <c r="D433" s="1">
        <v>20000</v>
      </c>
      <c r="E433">
        <v>0</v>
      </c>
      <c r="F433" t="s">
        <v>19</v>
      </c>
      <c r="G433" t="s">
        <v>25</v>
      </c>
      <c r="H433" t="s">
        <v>15</v>
      </c>
      <c r="I433">
        <v>0</v>
      </c>
      <c r="J433" t="s">
        <v>16</v>
      </c>
      <c r="K433" t="s">
        <v>24</v>
      </c>
      <c r="L433">
        <v>28</v>
      </c>
      <c r="M433" t="str">
        <f t="shared" si="6"/>
        <v>Adolesent</v>
      </c>
      <c r="N433" t="s">
        <v>15</v>
      </c>
    </row>
    <row r="434" spans="1:14" x14ac:dyDescent="0.3">
      <c r="A434">
        <v>21891</v>
      </c>
      <c r="B434" t="s">
        <v>37</v>
      </c>
      <c r="C434" t="s">
        <v>40</v>
      </c>
      <c r="D434" s="1">
        <v>110000</v>
      </c>
      <c r="E434">
        <v>0</v>
      </c>
      <c r="F434" t="s">
        <v>27</v>
      </c>
      <c r="G434" t="s">
        <v>28</v>
      </c>
      <c r="H434" t="s">
        <v>15</v>
      </c>
      <c r="I434">
        <v>3</v>
      </c>
      <c r="J434" t="s">
        <v>50</v>
      </c>
      <c r="K434" t="s">
        <v>24</v>
      </c>
      <c r="L434">
        <v>34</v>
      </c>
      <c r="M434" t="str">
        <f t="shared" si="6"/>
        <v>Middle Age</v>
      </c>
      <c r="N434" t="s">
        <v>15</v>
      </c>
    </row>
    <row r="435" spans="1:14" x14ac:dyDescent="0.3">
      <c r="A435">
        <v>27814</v>
      </c>
      <c r="B435" t="s">
        <v>38</v>
      </c>
      <c r="C435" t="s">
        <v>40</v>
      </c>
      <c r="D435" s="1">
        <v>30000</v>
      </c>
      <c r="E435">
        <v>3</v>
      </c>
      <c r="F435" t="s">
        <v>19</v>
      </c>
      <c r="G435" t="s">
        <v>20</v>
      </c>
      <c r="H435" t="s">
        <v>18</v>
      </c>
      <c r="I435">
        <v>1</v>
      </c>
      <c r="J435" t="s">
        <v>16</v>
      </c>
      <c r="K435" t="s">
        <v>17</v>
      </c>
      <c r="L435">
        <v>26</v>
      </c>
      <c r="M435" t="str">
        <f t="shared" si="6"/>
        <v>Adolesent</v>
      </c>
      <c r="N435" t="s">
        <v>18</v>
      </c>
    </row>
    <row r="436" spans="1:14" x14ac:dyDescent="0.3">
      <c r="A436">
        <v>22175</v>
      </c>
      <c r="B436" t="s">
        <v>37</v>
      </c>
      <c r="C436" t="s">
        <v>40</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40</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40</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40</v>
      </c>
      <c r="D439" s="1">
        <v>30000</v>
      </c>
      <c r="E439">
        <v>3</v>
      </c>
      <c r="F439" t="s">
        <v>19</v>
      </c>
      <c r="G439" t="s">
        <v>20</v>
      </c>
      <c r="H439" t="s">
        <v>15</v>
      </c>
      <c r="I439">
        <v>2</v>
      </c>
      <c r="J439" t="s">
        <v>16</v>
      </c>
      <c r="K439" t="s">
        <v>17</v>
      </c>
      <c r="L439">
        <v>28</v>
      </c>
      <c r="M439" t="str">
        <f t="shared" si="6"/>
        <v>Adolesent</v>
      </c>
      <c r="N439" t="s">
        <v>15</v>
      </c>
    </row>
    <row r="440" spans="1:14" x14ac:dyDescent="0.3">
      <c r="A440">
        <v>24093</v>
      </c>
      <c r="B440" t="s">
        <v>38</v>
      </c>
      <c r="C440" t="s">
        <v>40</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39</v>
      </c>
      <c r="D442" s="1">
        <v>90000</v>
      </c>
      <c r="E442">
        <v>0</v>
      </c>
      <c r="F442" t="s">
        <v>13</v>
      </c>
      <c r="G442" t="s">
        <v>21</v>
      </c>
      <c r="H442" t="s">
        <v>18</v>
      </c>
      <c r="I442">
        <v>3</v>
      </c>
      <c r="J442" t="s">
        <v>50</v>
      </c>
      <c r="K442" t="s">
        <v>24</v>
      </c>
      <c r="L442">
        <v>34</v>
      </c>
      <c r="M442" t="str">
        <f t="shared" si="6"/>
        <v>Middle Age</v>
      </c>
      <c r="N442" t="s">
        <v>15</v>
      </c>
    </row>
    <row r="443" spans="1:14" x14ac:dyDescent="0.3">
      <c r="A443">
        <v>11061</v>
      </c>
      <c r="B443" t="s">
        <v>37</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40</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40</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40</v>
      </c>
      <c r="D448" s="1">
        <v>130000</v>
      </c>
      <c r="E448">
        <v>0</v>
      </c>
      <c r="F448" t="s">
        <v>31</v>
      </c>
      <c r="G448" t="s">
        <v>28</v>
      </c>
      <c r="H448" t="s">
        <v>15</v>
      </c>
      <c r="I448">
        <v>1</v>
      </c>
      <c r="J448" t="s">
        <v>50</v>
      </c>
      <c r="K448" t="s">
        <v>24</v>
      </c>
      <c r="L448">
        <v>48</v>
      </c>
      <c r="M448" t="str">
        <f t="shared" si="6"/>
        <v>Middle Age</v>
      </c>
      <c r="N448" t="s">
        <v>18</v>
      </c>
    </row>
    <row r="449" spans="1:14" x14ac:dyDescent="0.3">
      <c r="A449">
        <v>20711</v>
      </c>
      <c r="B449" t="s">
        <v>37</v>
      </c>
      <c r="C449" t="s">
        <v>40</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40</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40</v>
      </c>
      <c r="D451" s="1">
        <v>40000</v>
      </c>
      <c r="E451">
        <v>1</v>
      </c>
      <c r="F451" t="s">
        <v>13</v>
      </c>
      <c r="G451" t="s">
        <v>14</v>
      </c>
      <c r="H451" t="s">
        <v>15</v>
      </c>
      <c r="I451">
        <v>0</v>
      </c>
      <c r="J451" t="s">
        <v>16</v>
      </c>
      <c r="K451" t="s">
        <v>17</v>
      </c>
      <c r="L451">
        <v>42</v>
      </c>
      <c r="M451" t="str">
        <f t="shared" ref="M451:M514" si="7">IF(L451&gt;55,"OLD",IF(L451&gt;=31,"Middle Age",IF(L451&lt;31,"Adolesent","Invalid")))</f>
        <v>Middle Age</v>
      </c>
      <c r="N451" t="s">
        <v>18</v>
      </c>
    </row>
    <row r="452" spans="1:14" x14ac:dyDescent="0.3">
      <c r="A452">
        <v>16559</v>
      </c>
      <c r="B452" t="s">
        <v>38</v>
      </c>
      <c r="C452" t="s">
        <v>40</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40</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40</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40</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40</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40</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39</v>
      </c>
      <c r="D460" s="1">
        <v>120000</v>
      </c>
      <c r="E460">
        <v>0</v>
      </c>
      <c r="F460" t="s">
        <v>29</v>
      </c>
      <c r="G460" t="s">
        <v>21</v>
      </c>
      <c r="H460" t="s">
        <v>15</v>
      </c>
      <c r="I460">
        <v>4</v>
      </c>
      <c r="J460" t="s">
        <v>50</v>
      </c>
      <c r="K460" t="s">
        <v>24</v>
      </c>
      <c r="L460">
        <v>32</v>
      </c>
      <c r="M460" t="str">
        <f t="shared" si="7"/>
        <v>Middle Age</v>
      </c>
      <c r="N460" t="s">
        <v>15</v>
      </c>
    </row>
    <row r="461" spans="1:14" x14ac:dyDescent="0.3">
      <c r="A461">
        <v>21554</v>
      </c>
      <c r="B461" t="s">
        <v>38</v>
      </c>
      <c r="C461" t="s">
        <v>40</v>
      </c>
      <c r="D461" s="1">
        <v>80000</v>
      </c>
      <c r="E461">
        <v>0</v>
      </c>
      <c r="F461" t="s">
        <v>13</v>
      </c>
      <c r="G461" t="s">
        <v>21</v>
      </c>
      <c r="H461" t="s">
        <v>18</v>
      </c>
      <c r="I461">
        <v>3</v>
      </c>
      <c r="J461" t="s">
        <v>50</v>
      </c>
      <c r="K461" t="s">
        <v>24</v>
      </c>
      <c r="L461">
        <v>33</v>
      </c>
      <c r="M461" t="str">
        <f t="shared" si="7"/>
        <v>Middle Age</v>
      </c>
      <c r="N461" t="s">
        <v>18</v>
      </c>
    </row>
    <row r="462" spans="1:14" x14ac:dyDescent="0.3">
      <c r="A462">
        <v>13662</v>
      </c>
      <c r="B462" t="s">
        <v>38</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40</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40</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40</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40</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40</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40</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39</v>
      </c>
      <c r="D472" s="1">
        <v>30000</v>
      </c>
      <c r="E472">
        <v>0</v>
      </c>
      <c r="F472" t="s">
        <v>27</v>
      </c>
      <c r="G472" t="s">
        <v>25</v>
      </c>
      <c r="H472" t="s">
        <v>18</v>
      </c>
      <c r="I472">
        <v>1</v>
      </c>
      <c r="J472" t="s">
        <v>26</v>
      </c>
      <c r="K472" t="s">
        <v>17</v>
      </c>
      <c r="L472">
        <v>28</v>
      </c>
      <c r="M472" t="str">
        <f t="shared" si="7"/>
        <v>Adolesent</v>
      </c>
      <c r="N472" t="s">
        <v>18</v>
      </c>
    </row>
    <row r="473" spans="1:14" x14ac:dyDescent="0.3">
      <c r="A473">
        <v>28323</v>
      </c>
      <c r="B473" t="s">
        <v>38</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40</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40</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40</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40</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40</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40</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40</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40</v>
      </c>
      <c r="D488" s="1">
        <v>90000</v>
      </c>
      <c r="E488">
        <v>4</v>
      </c>
      <c r="F488" t="s">
        <v>29</v>
      </c>
      <c r="G488" t="s">
        <v>14</v>
      </c>
      <c r="H488" t="s">
        <v>15</v>
      </c>
      <c r="I488">
        <v>4</v>
      </c>
      <c r="J488" t="s">
        <v>50</v>
      </c>
      <c r="K488" t="s">
        <v>17</v>
      </c>
      <c r="L488">
        <v>58</v>
      </c>
      <c r="M488" t="str">
        <f t="shared" si="7"/>
        <v>OLD</v>
      </c>
      <c r="N488" t="s">
        <v>18</v>
      </c>
    </row>
    <row r="489" spans="1:14" x14ac:dyDescent="0.3">
      <c r="A489">
        <v>12821</v>
      </c>
      <c r="B489" t="s">
        <v>37</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40</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40</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39</v>
      </c>
      <c r="D495" s="1">
        <v>70000</v>
      </c>
      <c r="E495">
        <v>5</v>
      </c>
      <c r="F495" t="s">
        <v>13</v>
      </c>
      <c r="G495" t="s">
        <v>28</v>
      </c>
      <c r="H495" t="s">
        <v>15</v>
      </c>
      <c r="I495">
        <v>3</v>
      </c>
      <c r="J495" t="s">
        <v>50</v>
      </c>
      <c r="K495" t="s">
        <v>32</v>
      </c>
      <c r="L495">
        <v>60</v>
      </c>
      <c r="M495" t="str">
        <f t="shared" si="7"/>
        <v>OLD</v>
      </c>
      <c r="N495" t="s">
        <v>15</v>
      </c>
    </row>
    <row r="496" spans="1:14" x14ac:dyDescent="0.3">
      <c r="A496">
        <v>27650</v>
      </c>
      <c r="B496" t="s">
        <v>37</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39</v>
      </c>
      <c r="D497" s="1">
        <v>60000</v>
      </c>
      <c r="E497">
        <v>2</v>
      </c>
      <c r="F497" t="s">
        <v>19</v>
      </c>
      <c r="G497" t="s">
        <v>21</v>
      </c>
      <c r="H497" t="s">
        <v>15</v>
      </c>
      <c r="I497">
        <v>2</v>
      </c>
      <c r="J497" t="s">
        <v>50</v>
      </c>
      <c r="K497" t="s">
        <v>32</v>
      </c>
      <c r="L497">
        <v>56</v>
      </c>
      <c r="M497" t="str">
        <f t="shared" si="7"/>
        <v>OLD</v>
      </c>
      <c r="N497" t="s">
        <v>18</v>
      </c>
    </row>
    <row r="498" spans="1:14" x14ac:dyDescent="0.3">
      <c r="A498">
        <v>20678</v>
      </c>
      <c r="B498" t="s">
        <v>38</v>
      </c>
      <c r="C498" t="s">
        <v>40</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40</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40</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40</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39</v>
      </c>
      <c r="D504" s="1">
        <v>40000</v>
      </c>
      <c r="E504">
        <v>0</v>
      </c>
      <c r="F504" t="s">
        <v>19</v>
      </c>
      <c r="G504" t="s">
        <v>14</v>
      </c>
      <c r="H504" t="s">
        <v>15</v>
      </c>
      <c r="I504">
        <v>1</v>
      </c>
      <c r="J504" t="s">
        <v>23</v>
      </c>
      <c r="K504" t="s">
        <v>32</v>
      </c>
      <c r="L504">
        <v>29</v>
      </c>
      <c r="M504" t="str">
        <f t="shared" si="7"/>
        <v>Adolesent</v>
      </c>
      <c r="N504" t="s">
        <v>18</v>
      </c>
    </row>
    <row r="505" spans="1:14" x14ac:dyDescent="0.3">
      <c r="A505">
        <v>20339</v>
      </c>
      <c r="B505" t="s">
        <v>37</v>
      </c>
      <c r="C505" t="s">
        <v>40</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40</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40</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39</v>
      </c>
      <c r="D510" s="1">
        <v>60000</v>
      </c>
      <c r="E510">
        <v>0</v>
      </c>
      <c r="F510" t="s">
        <v>19</v>
      </c>
      <c r="G510" t="s">
        <v>14</v>
      </c>
      <c r="H510" t="s">
        <v>18</v>
      </c>
      <c r="I510">
        <v>2</v>
      </c>
      <c r="J510" t="s">
        <v>26</v>
      </c>
      <c r="K510" t="s">
        <v>32</v>
      </c>
      <c r="L510">
        <v>29</v>
      </c>
      <c r="M510" t="str">
        <f t="shared" si="7"/>
        <v>Adolesent</v>
      </c>
      <c r="N510" t="s">
        <v>18</v>
      </c>
    </row>
    <row r="511" spans="1:14" x14ac:dyDescent="0.3">
      <c r="A511">
        <v>24357</v>
      </c>
      <c r="B511" t="s">
        <v>37</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40</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40</v>
      </c>
      <c r="D515" s="1">
        <v>60000</v>
      </c>
      <c r="E515">
        <v>4</v>
      </c>
      <c r="F515" t="s">
        <v>31</v>
      </c>
      <c r="G515" t="s">
        <v>28</v>
      </c>
      <c r="H515" t="s">
        <v>15</v>
      </c>
      <c r="I515">
        <v>2</v>
      </c>
      <c r="J515" t="s">
        <v>50</v>
      </c>
      <c r="K515" t="s">
        <v>32</v>
      </c>
      <c r="L515">
        <v>61</v>
      </c>
      <c r="M515" t="str">
        <f t="shared" ref="M515:M578" si="8">IF(L515&gt;55,"OLD",IF(L515&gt;=31,"Middle Age",IF(L515&lt;31,"Adolesent","Invalid")))</f>
        <v>OLD</v>
      </c>
      <c r="N515" t="s">
        <v>15</v>
      </c>
    </row>
    <row r="516" spans="1:14" x14ac:dyDescent="0.3">
      <c r="A516">
        <v>19399</v>
      </c>
      <c r="B516" t="s">
        <v>38</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40</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40</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40</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39</v>
      </c>
      <c r="D523" s="1">
        <v>40000</v>
      </c>
      <c r="E523">
        <v>4</v>
      </c>
      <c r="F523" t="s">
        <v>27</v>
      </c>
      <c r="G523" t="s">
        <v>21</v>
      </c>
      <c r="H523" t="s">
        <v>15</v>
      </c>
      <c r="I523">
        <v>2</v>
      </c>
      <c r="J523" t="s">
        <v>50</v>
      </c>
      <c r="K523" t="s">
        <v>32</v>
      </c>
      <c r="L523">
        <v>62</v>
      </c>
      <c r="M523" t="str">
        <f t="shared" si="8"/>
        <v>OLD</v>
      </c>
      <c r="N523" t="s">
        <v>15</v>
      </c>
    </row>
    <row r="524" spans="1:14" x14ac:dyDescent="0.3">
      <c r="A524">
        <v>19413</v>
      </c>
      <c r="B524" t="s">
        <v>38</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40</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39</v>
      </c>
      <c r="D527" s="1">
        <v>60000</v>
      </c>
      <c r="E527">
        <v>5</v>
      </c>
      <c r="F527" t="s">
        <v>13</v>
      </c>
      <c r="G527" t="s">
        <v>28</v>
      </c>
      <c r="H527" t="s">
        <v>15</v>
      </c>
      <c r="I527">
        <v>3</v>
      </c>
      <c r="J527" t="s">
        <v>50</v>
      </c>
      <c r="K527" t="s">
        <v>32</v>
      </c>
      <c r="L527">
        <v>59</v>
      </c>
      <c r="M527" t="str">
        <f t="shared" si="8"/>
        <v>OLD</v>
      </c>
      <c r="N527" t="s">
        <v>15</v>
      </c>
    </row>
    <row r="528" spans="1:14" x14ac:dyDescent="0.3">
      <c r="A528">
        <v>15382</v>
      </c>
      <c r="B528" t="s">
        <v>37</v>
      </c>
      <c r="C528" t="s">
        <v>40</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40</v>
      </c>
      <c r="D530" s="1">
        <v>30000</v>
      </c>
      <c r="E530">
        <v>0</v>
      </c>
      <c r="F530" t="s">
        <v>19</v>
      </c>
      <c r="G530" t="s">
        <v>14</v>
      </c>
      <c r="H530" t="s">
        <v>15</v>
      </c>
      <c r="I530">
        <v>1</v>
      </c>
      <c r="J530" t="s">
        <v>23</v>
      </c>
      <c r="K530" t="s">
        <v>32</v>
      </c>
      <c r="L530">
        <v>28</v>
      </c>
      <c r="M530" t="str">
        <f t="shared" si="8"/>
        <v>Adolesent</v>
      </c>
      <c r="N530" t="s">
        <v>18</v>
      </c>
    </row>
    <row r="531" spans="1:14" x14ac:dyDescent="0.3">
      <c r="A531">
        <v>13233</v>
      </c>
      <c r="B531" t="s">
        <v>37</v>
      </c>
      <c r="C531" t="s">
        <v>39</v>
      </c>
      <c r="D531" s="1">
        <v>60000</v>
      </c>
      <c r="E531">
        <v>2</v>
      </c>
      <c r="F531" t="s">
        <v>19</v>
      </c>
      <c r="G531" t="s">
        <v>21</v>
      </c>
      <c r="H531" t="s">
        <v>15</v>
      </c>
      <c r="I531">
        <v>1</v>
      </c>
      <c r="J531" t="s">
        <v>50</v>
      </c>
      <c r="K531" t="s">
        <v>32</v>
      </c>
      <c r="L531">
        <v>57</v>
      </c>
      <c r="M531" t="str">
        <f t="shared" si="8"/>
        <v>OLD</v>
      </c>
      <c r="N531" t="s">
        <v>15</v>
      </c>
    </row>
    <row r="532" spans="1:14" x14ac:dyDescent="0.3">
      <c r="A532">
        <v>25909</v>
      </c>
      <c r="B532" t="s">
        <v>37</v>
      </c>
      <c r="C532" t="s">
        <v>39</v>
      </c>
      <c r="D532" s="1">
        <v>60000</v>
      </c>
      <c r="E532">
        <v>0</v>
      </c>
      <c r="F532" t="s">
        <v>19</v>
      </c>
      <c r="G532" t="s">
        <v>14</v>
      </c>
      <c r="H532" t="s">
        <v>15</v>
      </c>
      <c r="I532">
        <v>1</v>
      </c>
      <c r="J532" t="s">
        <v>23</v>
      </c>
      <c r="K532" t="s">
        <v>32</v>
      </c>
      <c r="L532">
        <v>27</v>
      </c>
      <c r="M532" t="str">
        <f t="shared" si="8"/>
        <v>Adolesent</v>
      </c>
      <c r="N532" t="s">
        <v>15</v>
      </c>
    </row>
    <row r="533" spans="1:14" x14ac:dyDescent="0.3">
      <c r="A533">
        <v>14092</v>
      </c>
      <c r="B533" t="s">
        <v>38</v>
      </c>
      <c r="C533" t="s">
        <v>39</v>
      </c>
      <c r="D533" s="1">
        <v>30000</v>
      </c>
      <c r="E533">
        <v>0</v>
      </c>
      <c r="F533" t="s">
        <v>29</v>
      </c>
      <c r="G533" t="s">
        <v>20</v>
      </c>
      <c r="H533" t="s">
        <v>15</v>
      </c>
      <c r="I533">
        <v>2</v>
      </c>
      <c r="J533" t="s">
        <v>23</v>
      </c>
      <c r="K533" t="s">
        <v>32</v>
      </c>
      <c r="L533">
        <v>28</v>
      </c>
      <c r="M533" t="str">
        <f t="shared" si="8"/>
        <v>Adolesent</v>
      </c>
      <c r="N533" t="s">
        <v>18</v>
      </c>
    </row>
    <row r="534" spans="1:14" x14ac:dyDescent="0.3">
      <c r="A534">
        <v>29143</v>
      </c>
      <c r="B534" t="s">
        <v>38</v>
      </c>
      <c r="C534" t="s">
        <v>40</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39</v>
      </c>
      <c r="D535" s="1">
        <v>60000</v>
      </c>
      <c r="E535">
        <v>3</v>
      </c>
      <c r="F535" t="s">
        <v>13</v>
      </c>
      <c r="G535" t="s">
        <v>28</v>
      </c>
      <c r="H535" t="s">
        <v>15</v>
      </c>
      <c r="I535">
        <v>2</v>
      </c>
      <c r="J535" t="s">
        <v>50</v>
      </c>
      <c r="K535" t="s">
        <v>32</v>
      </c>
      <c r="L535">
        <v>66</v>
      </c>
      <c r="M535" t="str">
        <f t="shared" si="8"/>
        <v>OLD</v>
      </c>
      <c r="N535" t="s">
        <v>18</v>
      </c>
    </row>
    <row r="536" spans="1:14" x14ac:dyDescent="0.3">
      <c r="A536">
        <v>24637</v>
      </c>
      <c r="B536" t="s">
        <v>37</v>
      </c>
      <c r="C536" t="s">
        <v>39</v>
      </c>
      <c r="D536" s="1">
        <v>40000</v>
      </c>
      <c r="E536">
        <v>4</v>
      </c>
      <c r="F536" t="s">
        <v>27</v>
      </c>
      <c r="G536" t="s">
        <v>21</v>
      </c>
      <c r="H536" t="s">
        <v>15</v>
      </c>
      <c r="I536">
        <v>2</v>
      </c>
      <c r="J536" t="s">
        <v>50</v>
      </c>
      <c r="K536" t="s">
        <v>32</v>
      </c>
      <c r="L536">
        <v>64</v>
      </c>
      <c r="M536" t="str">
        <f t="shared" si="8"/>
        <v>OLD</v>
      </c>
      <c r="N536" t="s">
        <v>18</v>
      </c>
    </row>
    <row r="537" spans="1:14" x14ac:dyDescent="0.3">
      <c r="A537">
        <v>23893</v>
      </c>
      <c r="B537" t="s">
        <v>37</v>
      </c>
      <c r="C537" t="s">
        <v>39</v>
      </c>
      <c r="D537" s="1">
        <v>50000</v>
      </c>
      <c r="E537">
        <v>3</v>
      </c>
      <c r="F537" t="s">
        <v>13</v>
      </c>
      <c r="G537" t="s">
        <v>14</v>
      </c>
      <c r="H537" t="s">
        <v>15</v>
      </c>
      <c r="I537">
        <v>3</v>
      </c>
      <c r="J537" t="s">
        <v>50</v>
      </c>
      <c r="K537" t="s">
        <v>32</v>
      </c>
      <c r="L537">
        <v>41</v>
      </c>
      <c r="M537" t="str">
        <f t="shared" si="8"/>
        <v>Middle Age</v>
      </c>
      <c r="N537" t="s">
        <v>18</v>
      </c>
    </row>
    <row r="538" spans="1:14" x14ac:dyDescent="0.3">
      <c r="A538">
        <v>13907</v>
      </c>
      <c r="B538" t="s">
        <v>38</v>
      </c>
      <c r="C538" t="s">
        <v>40</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40</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40</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40</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40</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39</v>
      </c>
      <c r="D544" s="1">
        <v>40000</v>
      </c>
      <c r="E544">
        <v>0</v>
      </c>
      <c r="F544" t="s">
        <v>27</v>
      </c>
      <c r="G544" t="s">
        <v>14</v>
      </c>
      <c r="H544" t="s">
        <v>15</v>
      </c>
      <c r="I544">
        <v>2</v>
      </c>
      <c r="J544" t="s">
        <v>23</v>
      </c>
      <c r="K544" t="s">
        <v>32</v>
      </c>
      <c r="L544">
        <v>29</v>
      </c>
      <c r="M544" t="str">
        <f t="shared" si="8"/>
        <v>Adolesent</v>
      </c>
      <c r="N544" t="s">
        <v>18</v>
      </c>
    </row>
    <row r="545" spans="1:14" x14ac:dyDescent="0.3">
      <c r="A545">
        <v>25898</v>
      </c>
      <c r="B545" t="s">
        <v>37</v>
      </c>
      <c r="C545" t="s">
        <v>40</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39</v>
      </c>
      <c r="D547" s="1">
        <v>60000</v>
      </c>
      <c r="E547">
        <v>0</v>
      </c>
      <c r="F547" t="s">
        <v>19</v>
      </c>
      <c r="G547" t="s">
        <v>14</v>
      </c>
      <c r="H547" t="s">
        <v>18</v>
      </c>
      <c r="I547">
        <v>2</v>
      </c>
      <c r="J547" t="s">
        <v>26</v>
      </c>
      <c r="K547" t="s">
        <v>32</v>
      </c>
      <c r="L547">
        <v>29</v>
      </c>
      <c r="M547" t="str">
        <f t="shared" si="8"/>
        <v>Adolesent</v>
      </c>
      <c r="N547" t="s">
        <v>18</v>
      </c>
    </row>
    <row r="548" spans="1:14" x14ac:dyDescent="0.3">
      <c r="A548">
        <v>15529</v>
      </c>
      <c r="B548" t="s">
        <v>37</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39</v>
      </c>
      <c r="D549" s="1">
        <v>60000</v>
      </c>
      <c r="E549">
        <v>2</v>
      </c>
      <c r="F549" t="s">
        <v>27</v>
      </c>
      <c r="G549" t="s">
        <v>21</v>
      </c>
      <c r="H549" t="s">
        <v>15</v>
      </c>
      <c r="I549">
        <v>2</v>
      </c>
      <c r="J549" t="s">
        <v>22</v>
      </c>
      <c r="K549" t="s">
        <v>32</v>
      </c>
      <c r="L549">
        <v>55</v>
      </c>
      <c r="M549" t="str">
        <f t="shared" si="8"/>
        <v>Middle Age</v>
      </c>
      <c r="N549" t="s">
        <v>15</v>
      </c>
    </row>
    <row r="550" spans="1:14" x14ac:dyDescent="0.3">
      <c r="A550">
        <v>18674</v>
      </c>
      <c r="B550" t="s">
        <v>38</v>
      </c>
      <c r="C550" t="s">
        <v>40</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40</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40</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40</v>
      </c>
      <c r="D553" s="1">
        <v>50000</v>
      </c>
      <c r="E553">
        <v>4</v>
      </c>
      <c r="F553" t="s">
        <v>13</v>
      </c>
      <c r="G553" t="s">
        <v>28</v>
      </c>
      <c r="H553" t="s">
        <v>15</v>
      </c>
      <c r="I553">
        <v>2</v>
      </c>
      <c r="J553" t="s">
        <v>50</v>
      </c>
      <c r="K553" t="s">
        <v>32</v>
      </c>
      <c r="L553">
        <v>63</v>
      </c>
      <c r="M553" t="str">
        <f t="shared" si="8"/>
        <v>OLD</v>
      </c>
      <c r="N553" t="s">
        <v>18</v>
      </c>
    </row>
    <row r="554" spans="1:14" x14ac:dyDescent="0.3">
      <c r="A554">
        <v>14417</v>
      </c>
      <c r="B554" t="s">
        <v>38</v>
      </c>
      <c r="C554" t="s">
        <v>39</v>
      </c>
      <c r="D554" s="1">
        <v>60000</v>
      </c>
      <c r="E554">
        <v>3</v>
      </c>
      <c r="F554" t="s">
        <v>27</v>
      </c>
      <c r="G554" t="s">
        <v>21</v>
      </c>
      <c r="H554" t="s">
        <v>15</v>
      </c>
      <c r="I554">
        <v>2</v>
      </c>
      <c r="J554" t="s">
        <v>50</v>
      </c>
      <c r="K554" t="s">
        <v>32</v>
      </c>
      <c r="L554">
        <v>54</v>
      </c>
      <c r="M554" t="str">
        <f t="shared" si="8"/>
        <v>Middle Age</v>
      </c>
      <c r="N554" t="s">
        <v>15</v>
      </c>
    </row>
    <row r="555" spans="1:14" x14ac:dyDescent="0.3">
      <c r="A555">
        <v>17533</v>
      </c>
      <c r="B555" t="s">
        <v>37</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40</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40</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40</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40</v>
      </c>
      <c r="D561" s="1">
        <v>60000</v>
      </c>
      <c r="E561">
        <v>2</v>
      </c>
      <c r="F561" t="s">
        <v>13</v>
      </c>
      <c r="G561" t="s">
        <v>28</v>
      </c>
      <c r="H561" t="s">
        <v>15</v>
      </c>
      <c r="I561">
        <v>0</v>
      </c>
      <c r="J561" t="s">
        <v>50</v>
      </c>
      <c r="K561" t="s">
        <v>32</v>
      </c>
      <c r="L561">
        <v>58</v>
      </c>
      <c r="M561" t="str">
        <f t="shared" si="8"/>
        <v>OLD</v>
      </c>
      <c r="N561" t="s">
        <v>18</v>
      </c>
    </row>
    <row r="562" spans="1:14" x14ac:dyDescent="0.3">
      <c r="A562">
        <v>18577</v>
      </c>
      <c r="B562" t="s">
        <v>37</v>
      </c>
      <c r="C562" t="s">
        <v>40</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40</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40</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40</v>
      </c>
      <c r="D565" s="1">
        <v>30000</v>
      </c>
      <c r="E565">
        <v>0</v>
      </c>
      <c r="F565" t="s">
        <v>19</v>
      </c>
      <c r="G565" t="s">
        <v>14</v>
      </c>
      <c r="H565" t="s">
        <v>15</v>
      </c>
      <c r="I565">
        <v>1</v>
      </c>
      <c r="J565" t="s">
        <v>23</v>
      </c>
      <c r="K565" t="s">
        <v>32</v>
      </c>
      <c r="L565">
        <v>28</v>
      </c>
      <c r="M565" t="str">
        <f t="shared" si="8"/>
        <v>Adolesent</v>
      </c>
      <c r="N565" t="s">
        <v>18</v>
      </c>
    </row>
    <row r="566" spans="1:14" x14ac:dyDescent="0.3">
      <c r="A566">
        <v>17369</v>
      </c>
      <c r="B566" t="s">
        <v>38</v>
      </c>
      <c r="C566" t="s">
        <v>39</v>
      </c>
      <c r="D566" s="1">
        <v>30000</v>
      </c>
      <c r="E566">
        <v>0</v>
      </c>
      <c r="F566" t="s">
        <v>19</v>
      </c>
      <c r="G566" t="s">
        <v>14</v>
      </c>
      <c r="H566" t="s">
        <v>15</v>
      </c>
      <c r="I566">
        <v>1</v>
      </c>
      <c r="J566" t="s">
        <v>23</v>
      </c>
      <c r="K566" t="s">
        <v>32</v>
      </c>
      <c r="L566">
        <v>27</v>
      </c>
      <c r="M566" t="str">
        <f t="shared" si="8"/>
        <v>Adolesent</v>
      </c>
      <c r="N566" t="s">
        <v>18</v>
      </c>
    </row>
    <row r="567" spans="1:14" x14ac:dyDescent="0.3">
      <c r="A567">
        <v>14495</v>
      </c>
      <c r="B567" t="s">
        <v>37</v>
      </c>
      <c r="C567" t="s">
        <v>39</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40</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39</v>
      </c>
      <c r="D571" s="1">
        <v>50000</v>
      </c>
      <c r="E571">
        <v>3</v>
      </c>
      <c r="F571" t="s">
        <v>31</v>
      </c>
      <c r="G571" t="s">
        <v>28</v>
      </c>
      <c r="H571" t="s">
        <v>15</v>
      </c>
      <c r="I571">
        <v>2</v>
      </c>
      <c r="J571" t="s">
        <v>50</v>
      </c>
      <c r="K571" t="s">
        <v>32</v>
      </c>
      <c r="L571">
        <v>69</v>
      </c>
      <c r="M571" t="str">
        <f t="shared" si="8"/>
        <v>OLD</v>
      </c>
      <c r="N571" t="s">
        <v>18</v>
      </c>
    </row>
    <row r="572" spans="1:14" x14ac:dyDescent="0.3">
      <c r="A572">
        <v>20370</v>
      </c>
      <c r="B572" t="s">
        <v>37</v>
      </c>
      <c r="C572" t="s">
        <v>39</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39</v>
      </c>
      <c r="D573" s="1">
        <v>40000</v>
      </c>
      <c r="E573">
        <v>2</v>
      </c>
      <c r="F573" t="s">
        <v>29</v>
      </c>
      <c r="G573" t="s">
        <v>14</v>
      </c>
      <c r="H573" t="s">
        <v>15</v>
      </c>
      <c r="I573">
        <v>2</v>
      </c>
      <c r="J573" t="s">
        <v>22</v>
      </c>
      <c r="K573" t="s">
        <v>32</v>
      </c>
      <c r="L573">
        <v>55</v>
      </c>
      <c r="M573" t="str">
        <f t="shared" si="8"/>
        <v>Middle Age</v>
      </c>
      <c r="N573" t="s">
        <v>18</v>
      </c>
    </row>
    <row r="574" spans="1:14" x14ac:dyDescent="0.3">
      <c r="A574">
        <v>23549</v>
      </c>
      <c r="B574" t="s">
        <v>38</v>
      </c>
      <c r="C574" t="s">
        <v>39</v>
      </c>
      <c r="D574" s="1">
        <v>30000</v>
      </c>
      <c r="E574">
        <v>0</v>
      </c>
      <c r="F574" t="s">
        <v>27</v>
      </c>
      <c r="G574" t="s">
        <v>14</v>
      </c>
      <c r="H574" t="s">
        <v>15</v>
      </c>
      <c r="I574">
        <v>2</v>
      </c>
      <c r="J574" t="s">
        <v>23</v>
      </c>
      <c r="K574" t="s">
        <v>32</v>
      </c>
      <c r="L574">
        <v>30</v>
      </c>
      <c r="M574" t="str">
        <f t="shared" si="8"/>
        <v>Adolesent</v>
      </c>
      <c r="N574" t="s">
        <v>18</v>
      </c>
    </row>
    <row r="575" spans="1:14" x14ac:dyDescent="0.3">
      <c r="A575">
        <v>21751</v>
      </c>
      <c r="B575" t="s">
        <v>37</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40</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39</v>
      </c>
      <c r="D577" s="1">
        <v>60000</v>
      </c>
      <c r="E577">
        <v>2</v>
      </c>
      <c r="F577" t="s">
        <v>19</v>
      </c>
      <c r="G577" t="s">
        <v>21</v>
      </c>
      <c r="H577" t="s">
        <v>15</v>
      </c>
      <c r="I577">
        <v>1</v>
      </c>
      <c r="J577" t="s">
        <v>50</v>
      </c>
      <c r="K577" t="s">
        <v>32</v>
      </c>
      <c r="L577">
        <v>56</v>
      </c>
      <c r="M577" t="str">
        <f t="shared" si="8"/>
        <v>OLD</v>
      </c>
      <c r="N577" t="s">
        <v>18</v>
      </c>
    </row>
    <row r="578" spans="1:14" x14ac:dyDescent="0.3">
      <c r="A578">
        <v>18752</v>
      </c>
      <c r="B578" t="s">
        <v>38</v>
      </c>
      <c r="C578" t="s">
        <v>40</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39</v>
      </c>
      <c r="D579" s="1">
        <v>120000</v>
      </c>
      <c r="E579">
        <v>1</v>
      </c>
      <c r="F579" t="s">
        <v>13</v>
      </c>
      <c r="G579" t="s">
        <v>28</v>
      </c>
      <c r="H579" t="s">
        <v>15</v>
      </c>
      <c r="I579">
        <v>4</v>
      </c>
      <c r="J579" t="s">
        <v>16</v>
      </c>
      <c r="K579" t="s">
        <v>32</v>
      </c>
      <c r="L579">
        <v>38</v>
      </c>
      <c r="M579" t="str">
        <f t="shared" ref="M579:M642" si="9">IF(L579&gt;55,"OLD",IF(L579&gt;=31,"Middle Age",IF(L579&lt;31,"Adolesent","Invalid")))</f>
        <v>Middle Age</v>
      </c>
      <c r="N579" t="s">
        <v>18</v>
      </c>
    </row>
    <row r="580" spans="1:14" x14ac:dyDescent="0.3">
      <c r="A580">
        <v>15313</v>
      </c>
      <c r="B580" t="s">
        <v>37</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40</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40</v>
      </c>
      <c r="D582" s="1">
        <v>60000</v>
      </c>
      <c r="E582">
        <v>3</v>
      </c>
      <c r="F582" t="s">
        <v>31</v>
      </c>
      <c r="G582" t="s">
        <v>28</v>
      </c>
      <c r="H582" t="s">
        <v>15</v>
      </c>
      <c r="I582">
        <v>2</v>
      </c>
      <c r="J582" t="s">
        <v>50</v>
      </c>
      <c r="K582" t="s">
        <v>32</v>
      </c>
      <c r="L582">
        <v>69</v>
      </c>
      <c r="M582" t="str">
        <f t="shared" si="9"/>
        <v>OLD</v>
      </c>
      <c r="N582" t="s">
        <v>18</v>
      </c>
    </row>
    <row r="583" spans="1:14" x14ac:dyDescent="0.3">
      <c r="A583">
        <v>23089</v>
      </c>
      <c r="B583" t="s">
        <v>37</v>
      </c>
      <c r="C583" t="s">
        <v>39</v>
      </c>
      <c r="D583" s="1">
        <v>40000</v>
      </c>
      <c r="E583">
        <v>0</v>
      </c>
      <c r="F583" t="s">
        <v>19</v>
      </c>
      <c r="G583" t="s">
        <v>14</v>
      </c>
      <c r="H583" t="s">
        <v>15</v>
      </c>
      <c r="I583">
        <v>1</v>
      </c>
      <c r="J583" t="s">
        <v>23</v>
      </c>
      <c r="K583" t="s">
        <v>32</v>
      </c>
      <c r="L583">
        <v>28</v>
      </c>
      <c r="M583" t="str">
        <f t="shared" si="9"/>
        <v>Adolesent</v>
      </c>
      <c r="N583" t="s">
        <v>18</v>
      </c>
    </row>
    <row r="584" spans="1:14" x14ac:dyDescent="0.3">
      <c r="A584">
        <v>13749</v>
      </c>
      <c r="B584" t="s">
        <v>37</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39</v>
      </c>
      <c r="D585" s="1">
        <v>60000</v>
      </c>
      <c r="E585">
        <v>3</v>
      </c>
      <c r="F585" t="s">
        <v>13</v>
      </c>
      <c r="G585" t="s">
        <v>28</v>
      </c>
      <c r="H585" t="s">
        <v>15</v>
      </c>
      <c r="I585">
        <v>2</v>
      </c>
      <c r="J585" t="s">
        <v>50</v>
      </c>
      <c r="K585" t="s">
        <v>32</v>
      </c>
      <c r="L585">
        <v>66</v>
      </c>
      <c r="M585" t="str">
        <f t="shared" si="9"/>
        <v>OLD</v>
      </c>
      <c r="N585" t="s">
        <v>18</v>
      </c>
    </row>
    <row r="586" spans="1:14" x14ac:dyDescent="0.3">
      <c r="A586">
        <v>28667</v>
      </c>
      <c r="B586" t="s">
        <v>38</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40</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40</v>
      </c>
      <c r="D590" s="1">
        <v>90000</v>
      </c>
      <c r="E590">
        <v>2</v>
      </c>
      <c r="F590" t="s">
        <v>27</v>
      </c>
      <c r="G590" t="s">
        <v>21</v>
      </c>
      <c r="H590" t="s">
        <v>15</v>
      </c>
      <c r="I590">
        <v>1</v>
      </c>
      <c r="J590" t="s">
        <v>50</v>
      </c>
      <c r="K590" t="s">
        <v>32</v>
      </c>
      <c r="L590">
        <v>51</v>
      </c>
      <c r="M590" t="str">
        <f t="shared" si="9"/>
        <v>Middle Age</v>
      </c>
      <c r="N590" t="s">
        <v>15</v>
      </c>
    </row>
    <row r="591" spans="1:14" x14ac:dyDescent="0.3">
      <c r="A591">
        <v>12100</v>
      </c>
      <c r="B591" t="s">
        <v>38</v>
      </c>
      <c r="C591" t="s">
        <v>39</v>
      </c>
      <c r="D591" s="1">
        <v>60000</v>
      </c>
      <c r="E591">
        <v>2</v>
      </c>
      <c r="F591" t="s">
        <v>13</v>
      </c>
      <c r="G591" t="s">
        <v>28</v>
      </c>
      <c r="H591" t="s">
        <v>15</v>
      </c>
      <c r="I591">
        <v>0</v>
      </c>
      <c r="J591" t="s">
        <v>50</v>
      </c>
      <c r="K591" t="s">
        <v>32</v>
      </c>
      <c r="L591">
        <v>57</v>
      </c>
      <c r="M591" t="str">
        <f t="shared" si="9"/>
        <v>OLD</v>
      </c>
      <c r="N591" t="s">
        <v>18</v>
      </c>
    </row>
    <row r="592" spans="1:14" x14ac:dyDescent="0.3">
      <c r="A592">
        <v>23158</v>
      </c>
      <c r="B592" t="s">
        <v>37</v>
      </c>
      <c r="C592" t="s">
        <v>40</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39</v>
      </c>
      <c r="D593" s="1">
        <v>40000</v>
      </c>
      <c r="E593">
        <v>4</v>
      </c>
      <c r="F593" t="s">
        <v>27</v>
      </c>
      <c r="G593" t="s">
        <v>21</v>
      </c>
      <c r="H593" t="s">
        <v>18</v>
      </c>
      <c r="I593">
        <v>2</v>
      </c>
      <c r="J593" t="s">
        <v>50</v>
      </c>
      <c r="K593" t="s">
        <v>32</v>
      </c>
      <c r="L593">
        <v>61</v>
      </c>
      <c r="M593" t="str">
        <f t="shared" si="9"/>
        <v>OLD</v>
      </c>
      <c r="N593" t="s">
        <v>15</v>
      </c>
    </row>
    <row r="594" spans="1:14" x14ac:dyDescent="0.3">
      <c r="A594">
        <v>18391</v>
      </c>
      <c r="B594" t="s">
        <v>38</v>
      </c>
      <c r="C594" t="s">
        <v>40</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40</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40</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40</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40</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39</v>
      </c>
      <c r="D606" s="1">
        <v>40000</v>
      </c>
      <c r="E606">
        <v>0</v>
      </c>
      <c r="F606" t="s">
        <v>27</v>
      </c>
      <c r="G606" t="s">
        <v>14</v>
      </c>
      <c r="H606" t="s">
        <v>15</v>
      </c>
      <c r="I606">
        <v>2</v>
      </c>
      <c r="J606" t="s">
        <v>23</v>
      </c>
      <c r="K606" t="s">
        <v>32</v>
      </c>
      <c r="L606">
        <v>27</v>
      </c>
      <c r="M606" t="str">
        <f t="shared" si="9"/>
        <v>Adolesent</v>
      </c>
      <c r="N606" t="s">
        <v>18</v>
      </c>
    </row>
    <row r="607" spans="1:14" x14ac:dyDescent="0.3">
      <c r="A607">
        <v>17458</v>
      </c>
      <c r="B607" t="s">
        <v>38</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40</v>
      </c>
      <c r="D609" s="1">
        <v>70000</v>
      </c>
      <c r="E609">
        <v>5</v>
      </c>
      <c r="F609" t="s">
        <v>31</v>
      </c>
      <c r="G609" t="s">
        <v>21</v>
      </c>
      <c r="H609" t="s">
        <v>15</v>
      </c>
      <c r="I609">
        <v>3</v>
      </c>
      <c r="J609" t="s">
        <v>50</v>
      </c>
      <c r="K609" t="s">
        <v>32</v>
      </c>
      <c r="L609">
        <v>46</v>
      </c>
      <c r="M609" t="str">
        <f t="shared" si="9"/>
        <v>Middle Age</v>
      </c>
      <c r="N609" t="s">
        <v>15</v>
      </c>
    </row>
    <row r="610" spans="1:14" x14ac:dyDescent="0.3">
      <c r="A610">
        <v>16890</v>
      </c>
      <c r="B610" t="s">
        <v>37</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40</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40</v>
      </c>
      <c r="D614" s="1">
        <v>30000</v>
      </c>
      <c r="E614">
        <v>0</v>
      </c>
      <c r="F614" t="s">
        <v>29</v>
      </c>
      <c r="G614" t="s">
        <v>20</v>
      </c>
      <c r="H614" t="s">
        <v>15</v>
      </c>
      <c r="I614">
        <v>2</v>
      </c>
      <c r="J614" t="s">
        <v>23</v>
      </c>
      <c r="K614" t="s">
        <v>32</v>
      </c>
      <c r="L614">
        <v>27</v>
      </c>
      <c r="M614" t="str">
        <f t="shared" si="9"/>
        <v>Adolesent</v>
      </c>
      <c r="N614" t="s">
        <v>18</v>
      </c>
    </row>
    <row r="615" spans="1:14" x14ac:dyDescent="0.3">
      <c r="A615">
        <v>25184</v>
      </c>
      <c r="B615" t="s">
        <v>38</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40</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40</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40</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40</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40</v>
      </c>
      <c r="D621" s="1">
        <v>40000</v>
      </c>
      <c r="E621">
        <v>0</v>
      </c>
      <c r="F621" t="s">
        <v>27</v>
      </c>
      <c r="G621" t="s">
        <v>14</v>
      </c>
      <c r="H621" t="s">
        <v>15</v>
      </c>
      <c r="I621">
        <v>1</v>
      </c>
      <c r="J621" t="s">
        <v>23</v>
      </c>
      <c r="K621" t="s">
        <v>32</v>
      </c>
      <c r="L621">
        <v>30</v>
      </c>
      <c r="M621" t="str">
        <f t="shared" si="9"/>
        <v>Adolesent</v>
      </c>
      <c r="N621" t="s">
        <v>18</v>
      </c>
    </row>
    <row r="622" spans="1:14" x14ac:dyDescent="0.3">
      <c r="A622">
        <v>11259</v>
      </c>
      <c r="B622" t="s">
        <v>37</v>
      </c>
      <c r="C622" t="s">
        <v>40</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40</v>
      </c>
      <c r="D625" s="1">
        <v>70000</v>
      </c>
      <c r="E625">
        <v>4</v>
      </c>
      <c r="F625" t="s">
        <v>19</v>
      </c>
      <c r="G625" t="s">
        <v>21</v>
      </c>
      <c r="H625" t="s">
        <v>15</v>
      </c>
      <c r="I625">
        <v>1</v>
      </c>
      <c r="J625" t="s">
        <v>26</v>
      </c>
      <c r="K625" t="s">
        <v>32</v>
      </c>
      <c r="L625">
        <v>55</v>
      </c>
      <c r="M625" t="str">
        <f t="shared" si="9"/>
        <v>Middle Age</v>
      </c>
      <c r="N625" t="s">
        <v>18</v>
      </c>
    </row>
    <row r="626" spans="1:14" x14ac:dyDescent="0.3">
      <c r="A626">
        <v>25943</v>
      </c>
      <c r="B626" t="s">
        <v>38</v>
      </c>
      <c r="C626" t="s">
        <v>40</v>
      </c>
      <c r="D626" s="1">
        <v>70000</v>
      </c>
      <c r="E626">
        <v>0</v>
      </c>
      <c r="F626" t="s">
        <v>19</v>
      </c>
      <c r="G626" t="s">
        <v>14</v>
      </c>
      <c r="H626" t="s">
        <v>18</v>
      </c>
      <c r="I626">
        <v>2</v>
      </c>
      <c r="J626" t="s">
        <v>16</v>
      </c>
      <c r="K626" t="s">
        <v>32</v>
      </c>
      <c r="L626">
        <v>27</v>
      </c>
      <c r="M626" t="str">
        <f t="shared" si="9"/>
        <v>Adolesent</v>
      </c>
      <c r="N626" t="s">
        <v>15</v>
      </c>
    </row>
    <row r="627" spans="1:14" x14ac:dyDescent="0.3">
      <c r="A627">
        <v>22127</v>
      </c>
      <c r="B627" t="s">
        <v>37</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40</v>
      </c>
      <c r="D628" s="1">
        <v>60000</v>
      </c>
      <c r="E628">
        <v>0</v>
      </c>
      <c r="F628" t="s">
        <v>19</v>
      </c>
      <c r="G628" t="s">
        <v>14</v>
      </c>
      <c r="H628" t="s">
        <v>15</v>
      </c>
      <c r="I628">
        <v>2</v>
      </c>
      <c r="J628" t="s">
        <v>23</v>
      </c>
      <c r="K628" t="s">
        <v>32</v>
      </c>
      <c r="L628">
        <v>29</v>
      </c>
      <c r="M628" t="str">
        <f t="shared" si="9"/>
        <v>Adolesent</v>
      </c>
      <c r="N628" t="s">
        <v>18</v>
      </c>
    </row>
    <row r="629" spans="1:14" x14ac:dyDescent="0.3">
      <c r="A629">
        <v>23672</v>
      </c>
      <c r="B629" t="s">
        <v>37</v>
      </c>
      <c r="C629" t="s">
        <v>40</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40</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39</v>
      </c>
      <c r="D632" s="1">
        <v>40000</v>
      </c>
      <c r="E632">
        <v>0</v>
      </c>
      <c r="F632" t="s">
        <v>27</v>
      </c>
      <c r="G632" t="s">
        <v>14</v>
      </c>
      <c r="H632" t="s">
        <v>18</v>
      </c>
      <c r="I632">
        <v>2</v>
      </c>
      <c r="J632" t="s">
        <v>26</v>
      </c>
      <c r="K632" t="s">
        <v>32</v>
      </c>
      <c r="L632">
        <v>30</v>
      </c>
      <c r="M632" t="str">
        <f t="shared" si="9"/>
        <v>Adolesent</v>
      </c>
      <c r="N632" t="s">
        <v>18</v>
      </c>
    </row>
    <row r="633" spans="1:14" x14ac:dyDescent="0.3">
      <c r="A633">
        <v>27643</v>
      </c>
      <c r="B633" t="s">
        <v>38</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40</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40</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40</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40</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39</v>
      </c>
      <c r="D639" s="1">
        <v>40000</v>
      </c>
      <c r="E639">
        <v>0</v>
      </c>
      <c r="F639" t="s">
        <v>27</v>
      </c>
      <c r="G639" t="s">
        <v>14</v>
      </c>
      <c r="H639" t="s">
        <v>18</v>
      </c>
      <c r="I639">
        <v>2</v>
      </c>
      <c r="J639" t="s">
        <v>26</v>
      </c>
      <c r="K639" t="s">
        <v>32</v>
      </c>
      <c r="L639">
        <v>30</v>
      </c>
      <c r="M639" t="str">
        <f t="shared" si="9"/>
        <v>Adolesent</v>
      </c>
      <c r="N639" t="s">
        <v>18</v>
      </c>
    </row>
    <row r="640" spans="1:14" x14ac:dyDescent="0.3">
      <c r="A640">
        <v>18949</v>
      </c>
      <c r="B640" t="s">
        <v>38</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40</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39</v>
      </c>
      <c r="D643" s="1">
        <v>50000</v>
      </c>
      <c r="E643">
        <v>4</v>
      </c>
      <c r="F643" t="s">
        <v>13</v>
      </c>
      <c r="G643" t="s">
        <v>28</v>
      </c>
      <c r="H643" t="s">
        <v>15</v>
      </c>
      <c r="I643">
        <v>2</v>
      </c>
      <c r="J643" t="s">
        <v>50</v>
      </c>
      <c r="K643" t="s">
        <v>32</v>
      </c>
      <c r="L643">
        <v>64</v>
      </c>
      <c r="M643" t="str">
        <f t="shared" ref="M643:M706" si="10">IF(L643&gt;55,"OLD",IF(L643&gt;=31,"Middle Age",IF(L643&lt;31,"Adolesent","Invalid")))</f>
        <v>OLD</v>
      </c>
      <c r="N643" t="s">
        <v>18</v>
      </c>
    </row>
    <row r="644" spans="1:14" x14ac:dyDescent="0.3">
      <c r="A644">
        <v>21741</v>
      </c>
      <c r="B644" t="s">
        <v>37</v>
      </c>
      <c r="C644" t="s">
        <v>40</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40</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40</v>
      </c>
      <c r="D646" s="1">
        <v>60000</v>
      </c>
      <c r="E646">
        <v>5</v>
      </c>
      <c r="F646" t="s">
        <v>13</v>
      </c>
      <c r="G646" t="s">
        <v>14</v>
      </c>
      <c r="H646" t="s">
        <v>15</v>
      </c>
      <c r="I646">
        <v>3</v>
      </c>
      <c r="J646" t="s">
        <v>50</v>
      </c>
      <c r="K646" t="s">
        <v>32</v>
      </c>
      <c r="L646">
        <v>41</v>
      </c>
      <c r="M646" t="str">
        <f t="shared" si="10"/>
        <v>Middle Age</v>
      </c>
      <c r="N646" t="s">
        <v>18</v>
      </c>
    </row>
    <row r="647" spans="1:14" x14ac:dyDescent="0.3">
      <c r="A647">
        <v>16217</v>
      </c>
      <c r="B647" t="s">
        <v>38</v>
      </c>
      <c r="C647" t="s">
        <v>40</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40</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40</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40</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40</v>
      </c>
      <c r="D652" s="1">
        <v>70000</v>
      </c>
      <c r="E652">
        <v>5</v>
      </c>
      <c r="F652" t="s">
        <v>31</v>
      </c>
      <c r="G652" t="s">
        <v>28</v>
      </c>
      <c r="H652" t="s">
        <v>15</v>
      </c>
      <c r="I652">
        <v>2</v>
      </c>
      <c r="J652" t="s">
        <v>50</v>
      </c>
      <c r="K652" t="s">
        <v>32</v>
      </c>
      <c r="L652">
        <v>67</v>
      </c>
      <c r="M652" t="str">
        <f t="shared" si="10"/>
        <v>OLD</v>
      </c>
      <c r="N652" t="s">
        <v>15</v>
      </c>
    </row>
    <row r="653" spans="1:14" x14ac:dyDescent="0.3">
      <c r="A653">
        <v>14284</v>
      </c>
      <c r="B653" t="s">
        <v>38</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40</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40</v>
      </c>
      <c r="D661" s="1">
        <v>60000</v>
      </c>
      <c r="E661">
        <v>4</v>
      </c>
      <c r="F661" t="s">
        <v>13</v>
      </c>
      <c r="G661" t="s">
        <v>28</v>
      </c>
      <c r="H661" t="s">
        <v>15</v>
      </c>
      <c r="I661">
        <v>2</v>
      </c>
      <c r="J661" t="s">
        <v>50</v>
      </c>
      <c r="K661" t="s">
        <v>32</v>
      </c>
      <c r="L661">
        <v>63</v>
      </c>
      <c r="M661" t="str">
        <f t="shared" si="10"/>
        <v>OLD</v>
      </c>
      <c r="N661" t="s">
        <v>18</v>
      </c>
    </row>
    <row r="662" spans="1:14" x14ac:dyDescent="0.3">
      <c r="A662">
        <v>21599</v>
      </c>
      <c r="B662" t="s">
        <v>37</v>
      </c>
      <c r="C662" t="s">
        <v>40</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39</v>
      </c>
      <c r="D663" s="1">
        <v>40000</v>
      </c>
      <c r="E663">
        <v>0</v>
      </c>
      <c r="F663" t="s">
        <v>27</v>
      </c>
      <c r="G663" t="s">
        <v>14</v>
      </c>
      <c r="H663" t="s">
        <v>18</v>
      </c>
      <c r="I663">
        <v>2</v>
      </c>
      <c r="J663" t="s">
        <v>16</v>
      </c>
      <c r="K663" t="s">
        <v>32</v>
      </c>
      <c r="L663">
        <v>28</v>
      </c>
      <c r="M663" t="str">
        <f t="shared" si="10"/>
        <v>Adolesent</v>
      </c>
      <c r="N663" t="s">
        <v>15</v>
      </c>
    </row>
    <row r="664" spans="1:14" x14ac:dyDescent="0.3">
      <c r="A664">
        <v>27637</v>
      </c>
      <c r="B664" t="s">
        <v>38</v>
      </c>
      <c r="C664" t="s">
        <v>40</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40</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40</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40</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40</v>
      </c>
      <c r="D669" s="1">
        <v>40000</v>
      </c>
      <c r="E669">
        <v>5</v>
      </c>
      <c r="F669" t="s">
        <v>27</v>
      </c>
      <c r="G669" t="s">
        <v>21</v>
      </c>
      <c r="H669" t="s">
        <v>18</v>
      </c>
      <c r="I669">
        <v>2</v>
      </c>
      <c r="J669" t="s">
        <v>50</v>
      </c>
      <c r="K669" t="s">
        <v>32</v>
      </c>
      <c r="L669">
        <v>61</v>
      </c>
      <c r="M669" t="str">
        <f t="shared" si="10"/>
        <v>OLD</v>
      </c>
      <c r="N669" t="s">
        <v>18</v>
      </c>
    </row>
    <row r="670" spans="1:14" x14ac:dyDescent="0.3">
      <c r="A670">
        <v>14592</v>
      </c>
      <c r="B670" t="s">
        <v>37</v>
      </c>
      <c r="C670" t="s">
        <v>40</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40</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39</v>
      </c>
      <c r="D672" s="1">
        <v>70000</v>
      </c>
      <c r="E672">
        <v>2</v>
      </c>
      <c r="F672" t="s">
        <v>19</v>
      </c>
      <c r="G672" t="s">
        <v>21</v>
      </c>
      <c r="H672" t="s">
        <v>15</v>
      </c>
      <c r="I672">
        <v>1</v>
      </c>
      <c r="J672" t="s">
        <v>50</v>
      </c>
      <c r="K672" t="s">
        <v>32</v>
      </c>
      <c r="L672">
        <v>59</v>
      </c>
      <c r="M672" t="str">
        <f t="shared" si="10"/>
        <v>OLD</v>
      </c>
      <c r="N672" t="s">
        <v>18</v>
      </c>
    </row>
    <row r="673" spans="1:14" x14ac:dyDescent="0.3">
      <c r="A673">
        <v>22252</v>
      </c>
      <c r="B673" t="s">
        <v>38</v>
      </c>
      <c r="C673" t="s">
        <v>40</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40</v>
      </c>
      <c r="D674" s="1">
        <v>40000</v>
      </c>
      <c r="E674">
        <v>0</v>
      </c>
      <c r="F674" t="s">
        <v>27</v>
      </c>
      <c r="G674" t="s">
        <v>14</v>
      </c>
      <c r="H674" t="s">
        <v>15</v>
      </c>
      <c r="I674">
        <v>2</v>
      </c>
      <c r="J674" t="s">
        <v>23</v>
      </c>
      <c r="K674" t="s">
        <v>32</v>
      </c>
      <c r="L674">
        <v>30</v>
      </c>
      <c r="M674" t="str">
        <f t="shared" si="10"/>
        <v>Adolesent</v>
      </c>
      <c r="N674" t="s">
        <v>18</v>
      </c>
    </row>
    <row r="675" spans="1:14" x14ac:dyDescent="0.3">
      <c r="A675">
        <v>11817</v>
      </c>
      <c r="B675" t="s">
        <v>38</v>
      </c>
      <c r="C675" t="s">
        <v>40</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40</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39</v>
      </c>
      <c r="D681" s="1">
        <v>60000</v>
      </c>
      <c r="E681">
        <v>4</v>
      </c>
      <c r="F681" t="s">
        <v>13</v>
      </c>
      <c r="G681" t="s">
        <v>28</v>
      </c>
      <c r="H681" t="s">
        <v>15</v>
      </c>
      <c r="I681">
        <v>2</v>
      </c>
      <c r="J681" t="s">
        <v>50</v>
      </c>
      <c r="K681" t="s">
        <v>32</v>
      </c>
      <c r="L681">
        <v>60</v>
      </c>
      <c r="M681" t="str">
        <f t="shared" si="10"/>
        <v>OLD</v>
      </c>
      <c r="N681" t="s">
        <v>18</v>
      </c>
    </row>
    <row r="682" spans="1:14" x14ac:dyDescent="0.3">
      <c r="A682">
        <v>11165</v>
      </c>
      <c r="B682" t="s">
        <v>37</v>
      </c>
      <c r="C682" t="s">
        <v>40</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40</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40</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40</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40</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40</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39</v>
      </c>
      <c r="D689" s="1">
        <v>30000</v>
      </c>
      <c r="E689">
        <v>0</v>
      </c>
      <c r="F689" t="s">
        <v>19</v>
      </c>
      <c r="G689" t="s">
        <v>14</v>
      </c>
      <c r="H689" t="s">
        <v>15</v>
      </c>
      <c r="I689">
        <v>2</v>
      </c>
      <c r="J689" t="s">
        <v>23</v>
      </c>
      <c r="K689" t="s">
        <v>32</v>
      </c>
      <c r="L689">
        <v>30</v>
      </c>
      <c r="M689" t="str">
        <f t="shared" si="10"/>
        <v>Adolesent</v>
      </c>
      <c r="N689" t="s">
        <v>18</v>
      </c>
    </row>
    <row r="690" spans="1:14" x14ac:dyDescent="0.3">
      <c r="A690">
        <v>11699</v>
      </c>
      <c r="B690" t="s">
        <v>38</v>
      </c>
      <c r="C690" t="s">
        <v>39</v>
      </c>
      <c r="D690" s="1">
        <v>60000</v>
      </c>
      <c r="E690">
        <v>0</v>
      </c>
      <c r="F690" t="s">
        <v>13</v>
      </c>
      <c r="G690" t="s">
        <v>14</v>
      </c>
      <c r="H690" t="s">
        <v>18</v>
      </c>
      <c r="I690">
        <v>2</v>
      </c>
      <c r="J690" t="s">
        <v>16</v>
      </c>
      <c r="K690" t="s">
        <v>32</v>
      </c>
      <c r="L690">
        <v>30</v>
      </c>
      <c r="M690" t="str">
        <f t="shared" si="10"/>
        <v>Adolesent</v>
      </c>
      <c r="N690" t="s">
        <v>18</v>
      </c>
    </row>
    <row r="691" spans="1:14" x14ac:dyDescent="0.3">
      <c r="A691">
        <v>16725</v>
      </c>
      <c r="B691" t="s">
        <v>37</v>
      </c>
      <c r="C691" t="s">
        <v>39</v>
      </c>
      <c r="D691" s="1">
        <v>30000</v>
      </c>
      <c r="E691">
        <v>0</v>
      </c>
      <c r="F691" t="s">
        <v>27</v>
      </c>
      <c r="G691" t="s">
        <v>14</v>
      </c>
      <c r="H691" t="s">
        <v>15</v>
      </c>
      <c r="I691">
        <v>2</v>
      </c>
      <c r="J691" t="s">
        <v>23</v>
      </c>
      <c r="K691" t="s">
        <v>32</v>
      </c>
      <c r="L691">
        <v>26</v>
      </c>
      <c r="M691" t="str">
        <f t="shared" si="10"/>
        <v>Adolesent</v>
      </c>
      <c r="N691" t="s">
        <v>18</v>
      </c>
    </row>
    <row r="692" spans="1:14" x14ac:dyDescent="0.3">
      <c r="A692">
        <v>28269</v>
      </c>
      <c r="B692" t="s">
        <v>38</v>
      </c>
      <c r="C692" t="s">
        <v>40</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40</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40</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39</v>
      </c>
      <c r="D698" s="1">
        <v>60000</v>
      </c>
      <c r="E698">
        <v>0</v>
      </c>
      <c r="F698" t="s">
        <v>19</v>
      </c>
      <c r="G698" t="s">
        <v>21</v>
      </c>
      <c r="H698" t="s">
        <v>18</v>
      </c>
      <c r="I698">
        <v>2</v>
      </c>
      <c r="J698" t="s">
        <v>26</v>
      </c>
      <c r="K698" t="s">
        <v>32</v>
      </c>
      <c r="L698">
        <v>30</v>
      </c>
      <c r="M698" t="str">
        <f t="shared" si="10"/>
        <v>Adolesent</v>
      </c>
      <c r="N698" t="s">
        <v>18</v>
      </c>
    </row>
    <row r="699" spans="1:14" x14ac:dyDescent="0.3">
      <c r="A699">
        <v>14090</v>
      </c>
      <c r="B699" t="s">
        <v>37</v>
      </c>
      <c r="C699" t="s">
        <v>40</v>
      </c>
      <c r="D699" s="1">
        <v>30000</v>
      </c>
      <c r="E699">
        <v>0</v>
      </c>
      <c r="F699" t="s">
        <v>29</v>
      </c>
      <c r="G699" t="s">
        <v>20</v>
      </c>
      <c r="H699" t="s">
        <v>18</v>
      </c>
      <c r="I699">
        <v>2</v>
      </c>
      <c r="J699" t="s">
        <v>16</v>
      </c>
      <c r="K699" t="s">
        <v>32</v>
      </c>
      <c r="L699">
        <v>28</v>
      </c>
      <c r="M699" t="str">
        <f t="shared" si="10"/>
        <v>Adolesent</v>
      </c>
      <c r="N699" t="s">
        <v>18</v>
      </c>
    </row>
    <row r="700" spans="1:14" x14ac:dyDescent="0.3">
      <c r="A700">
        <v>27040</v>
      </c>
      <c r="B700" t="s">
        <v>37</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40</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39</v>
      </c>
      <c r="D703" s="1">
        <v>30000</v>
      </c>
      <c r="E703">
        <v>0</v>
      </c>
      <c r="F703" t="s">
        <v>27</v>
      </c>
      <c r="G703" t="s">
        <v>14</v>
      </c>
      <c r="H703" t="s">
        <v>15</v>
      </c>
      <c r="I703">
        <v>2</v>
      </c>
      <c r="J703" t="s">
        <v>23</v>
      </c>
      <c r="K703" t="s">
        <v>32</v>
      </c>
      <c r="L703">
        <v>26</v>
      </c>
      <c r="M703" t="str">
        <f t="shared" si="10"/>
        <v>Adolesent</v>
      </c>
      <c r="N703" t="s">
        <v>18</v>
      </c>
    </row>
    <row r="704" spans="1:14" x14ac:dyDescent="0.3">
      <c r="A704">
        <v>13314</v>
      </c>
      <c r="B704" t="s">
        <v>37</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40</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40</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40</v>
      </c>
      <c r="D707" s="1">
        <v>70000</v>
      </c>
      <c r="E707">
        <v>4</v>
      </c>
      <c r="F707" t="s">
        <v>13</v>
      </c>
      <c r="G707" t="s">
        <v>28</v>
      </c>
      <c r="H707" t="s">
        <v>15</v>
      </c>
      <c r="I707">
        <v>1</v>
      </c>
      <c r="J707" t="s">
        <v>50</v>
      </c>
      <c r="K707" t="s">
        <v>32</v>
      </c>
      <c r="L707">
        <v>59</v>
      </c>
      <c r="M707" t="str">
        <f t="shared" ref="M707:M770" si="11">IF(L707&gt;55,"OLD",IF(L707&gt;=31,"Middle Age",IF(L707&lt;31,"Adolesent","Invalid")))</f>
        <v>OLD</v>
      </c>
      <c r="N707" t="s">
        <v>18</v>
      </c>
    </row>
    <row r="708" spans="1:14" x14ac:dyDescent="0.3">
      <c r="A708">
        <v>20296</v>
      </c>
      <c r="B708" t="s">
        <v>38</v>
      </c>
      <c r="C708" t="s">
        <v>40</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40</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39</v>
      </c>
      <c r="D710" s="1">
        <v>70000</v>
      </c>
      <c r="E710">
        <v>5</v>
      </c>
      <c r="F710" t="s">
        <v>13</v>
      </c>
      <c r="G710" t="s">
        <v>28</v>
      </c>
      <c r="H710" t="s">
        <v>15</v>
      </c>
      <c r="I710">
        <v>4</v>
      </c>
      <c r="J710" t="s">
        <v>50</v>
      </c>
      <c r="K710" t="s">
        <v>32</v>
      </c>
      <c r="L710">
        <v>60</v>
      </c>
      <c r="M710" t="str">
        <f t="shared" si="11"/>
        <v>OLD</v>
      </c>
      <c r="N710" t="s">
        <v>18</v>
      </c>
    </row>
    <row r="711" spans="1:14" x14ac:dyDescent="0.3">
      <c r="A711">
        <v>23712</v>
      </c>
      <c r="B711" t="s">
        <v>38</v>
      </c>
      <c r="C711" t="s">
        <v>40</v>
      </c>
      <c r="D711" s="1">
        <v>70000</v>
      </c>
      <c r="E711">
        <v>2</v>
      </c>
      <c r="F711" t="s">
        <v>13</v>
      </c>
      <c r="G711" t="s">
        <v>28</v>
      </c>
      <c r="H711" t="s">
        <v>15</v>
      </c>
      <c r="I711">
        <v>1</v>
      </c>
      <c r="J711" t="s">
        <v>50</v>
      </c>
      <c r="K711" t="s">
        <v>32</v>
      </c>
      <c r="L711">
        <v>59</v>
      </c>
      <c r="M711" t="str">
        <f t="shared" si="11"/>
        <v>OLD</v>
      </c>
      <c r="N711" t="s">
        <v>18</v>
      </c>
    </row>
    <row r="712" spans="1:14" x14ac:dyDescent="0.3">
      <c r="A712">
        <v>23358</v>
      </c>
      <c r="B712" t="s">
        <v>37</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40</v>
      </c>
      <c r="D713" s="1">
        <v>70000</v>
      </c>
      <c r="E713">
        <v>2</v>
      </c>
      <c r="F713" t="s">
        <v>19</v>
      </c>
      <c r="G713" t="s">
        <v>21</v>
      </c>
      <c r="H713" t="s">
        <v>15</v>
      </c>
      <c r="I713">
        <v>1</v>
      </c>
      <c r="J713" t="s">
        <v>50</v>
      </c>
      <c r="K713" t="s">
        <v>32</v>
      </c>
      <c r="L713">
        <v>58</v>
      </c>
      <c r="M713" t="str">
        <f t="shared" si="11"/>
        <v>OLD</v>
      </c>
      <c r="N713" t="s">
        <v>18</v>
      </c>
    </row>
    <row r="714" spans="1:14" x14ac:dyDescent="0.3">
      <c r="A714">
        <v>28026</v>
      </c>
      <c r="B714" t="s">
        <v>37</v>
      </c>
      <c r="C714" t="s">
        <v>40</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40</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39</v>
      </c>
      <c r="D716" s="1">
        <v>40000</v>
      </c>
      <c r="E716">
        <v>0</v>
      </c>
      <c r="F716" t="s">
        <v>27</v>
      </c>
      <c r="G716" t="s">
        <v>14</v>
      </c>
      <c r="H716" t="s">
        <v>15</v>
      </c>
      <c r="I716">
        <v>2</v>
      </c>
      <c r="J716" t="s">
        <v>23</v>
      </c>
      <c r="K716" t="s">
        <v>32</v>
      </c>
      <c r="L716">
        <v>28</v>
      </c>
      <c r="M716" t="str">
        <f t="shared" si="11"/>
        <v>Adolesent</v>
      </c>
      <c r="N716" t="s">
        <v>15</v>
      </c>
    </row>
    <row r="717" spans="1:14" x14ac:dyDescent="0.3">
      <c r="A717">
        <v>27090</v>
      </c>
      <c r="B717" t="s">
        <v>37</v>
      </c>
      <c r="C717" t="s">
        <v>40</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40</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40</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40</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40</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40</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39</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39</v>
      </c>
      <c r="D730" s="1">
        <v>40000</v>
      </c>
      <c r="E730">
        <v>0</v>
      </c>
      <c r="F730" t="s">
        <v>27</v>
      </c>
      <c r="G730" t="s">
        <v>14</v>
      </c>
      <c r="H730" t="s">
        <v>15</v>
      </c>
      <c r="I730">
        <v>2</v>
      </c>
      <c r="J730" t="s">
        <v>23</v>
      </c>
      <c r="K730" t="s">
        <v>32</v>
      </c>
      <c r="L730">
        <v>27</v>
      </c>
      <c r="M730" t="str">
        <f t="shared" si="11"/>
        <v>Adolesent</v>
      </c>
      <c r="N730" t="s">
        <v>18</v>
      </c>
    </row>
    <row r="731" spans="1:14" x14ac:dyDescent="0.3">
      <c r="A731">
        <v>11886</v>
      </c>
      <c r="B731" t="s">
        <v>37</v>
      </c>
      <c r="C731" t="s">
        <v>40</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40</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40</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40</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40</v>
      </c>
      <c r="D737" s="1">
        <v>30000</v>
      </c>
      <c r="E737">
        <v>0</v>
      </c>
      <c r="F737" t="s">
        <v>19</v>
      </c>
      <c r="G737" t="s">
        <v>14</v>
      </c>
      <c r="H737" t="s">
        <v>15</v>
      </c>
      <c r="I737">
        <v>1</v>
      </c>
      <c r="J737" t="s">
        <v>23</v>
      </c>
      <c r="K737" t="s">
        <v>32</v>
      </c>
      <c r="L737">
        <v>26</v>
      </c>
      <c r="M737" t="str">
        <f t="shared" si="11"/>
        <v>Adolesent</v>
      </c>
      <c r="N737" t="s">
        <v>18</v>
      </c>
    </row>
    <row r="738" spans="1:14" x14ac:dyDescent="0.3">
      <c r="A738">
        <v>19634</v>
      </c>
      <c r="B738" t="s">
        <v>37</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40</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40</v>
      </c>
      <c r="D741" s="1">
        <v>60000</v>
      </c>
      <c r="E741">
        <v>2</v>
      </c>
      <c r="F741" t="s">
        <v>19</v>
      </c>
      <c r="G741" t="s">
        <v>21</v>
      </c>
      <c r="H741" t="s">
        <v>15</v>
      </c>
      <c r="I741">
        <v>1</v>
      </c>
      <c r="J741" t="s">
        <v>50</v>
      </c>
      <c r="K741" t="s">
        <v>32</v>
      </c>
      <c r="L741">
        <v>55</v>
      </c>
      <c r="M741" t="str">
        <f t="shared" si="11"/>
        <v>Middle Age</v>
      </c>
      <c r="N741" t="s">
        <v>18</v>
      </c>
    </row>
    <row r="742" spans="1:14" x14ac:dyDescent="0.3">
      <c r="A742">
        <v>17657</v>
      </c>
      <c r="B742" t="s">
        <v>37</v>
      </c>
      <c r="C742" t="s">
        <v>39</v>
      </c>
      <c r="D742" s="1">
        <v>40000</v>
      </c>
      <c r="E742">
        <v>4</v>
      </c>
      <c r="F742" t="s">
        <v>19</v>
      </c>
      <c r="G742" t="s">
        <v>20</v>
      </c>
      <c r="H742" t="s">
        <v>18</v>
      </c>
      <c r="I742">
        <v>0</v>
      </c>
      <c r="J742" t="s">
        <v>16</v>
      </c>
      <c r="K742" t="s">
        <v>32</v>
      </c>
      <c r="L742">
        <v>30</v>
      </c>
      <c r="M742" t="str">
        <f t="shared" si="11"/>
        <v>Adolesent</v>
      </c>
      <c r="N742" t="s">
        <v>18</v>
      </c>
    </row>
    <row r="743" spans="1:14" x14ac:dyDescent="0.3">
      <c r="A743">
        <v>14913</v>
      </c>
      <c r="B743" t="s">
        <v>37</v>
      </c>
      <c r="C743" t="s">
        <v>40</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39</v>
      </c>
      <c r="D744" s="1">
        <v>30000</v>
      </c>
      <c r="E744">
        <v>0</v>
      </c>
      <c r="F744" t="s">
        <v>27</v>
      </c>
      <c r="G744" t="s">
        <v>14</v>
      </c>
      <c r="H744" t="s">
        <v>15</v>
      </c>
      <c r="I744">
        <v>2</v>
      </c>
      <c r="J744" t="s">
        <v>23</v>
      </c>
      <c r="K744" t="s">
        <v>32</v>
      </c>
      <c r="L744">
        <v>30</v>
      </c>
      <c r="M744" t="str">
        <f t="shared" si="11"/>
        <v>Adolesent</v>
      </c>
      <c r="N744" t="s">
        <v>18</v>
      </c>
    </row>
    <row r="745" spans="1:14" x14ac:dyDescent="0.3">
      <c r="A745">
        <v>13296</v>
      </c>
      <c r="B745" t="s">
        <v>37</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40</v>
      </c>
      <c r="D746" s="1">
        <v>70000</v>
      </c>
      <c r="E746">
        <v>4</v>
      </c>
      <c r="F746" t="s">
        <v>19</v>
      </c>
      <c r="G746" t="s">
        <v>21</v>
      </c>
      <c r="H746" t="s">
        <v>15</v>
      </c>
      <c r="I746">
        <v>1</v>
      </c>
      <c r="J746" t="s">
        <v>50</v>
      </c>
      <c r="K746" t="s">
        <v>32</v>
      </c>
      <c r="L746">
        <v>56</v>
      </c>
      <c r="M746" t="str">
        <f t="shared" si="11"/>
        <v>OLD</v>
      </c>
      <c r="N746" t="s">
        <v>18</v>
      </c>
    </row>
    <row r="747" spans="1:14" x14ac:dyDescent="0.3">
      <c r="A747">
        <v>12452</v>
      </c>
      <c r="B747" t="s">
        <v>37</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40</v>
      </c>
      <c r="D748" s="1">
        <v>60000</v>
      </c>
      <c r="E748">
        <v>2</v>
      </c>
      <c r="F748" t="s">
        <v>13</v>
      </c>
      <c r="G748" t="s">
        <v>28</v>
      </c>
      <c r="H748" t="s">
        <v>15</v>
      </c>
      <c r="I748">
        <v>0</v>
      </c>
      <c r="J748" t="s">
        <v>50</v>
      </c>
      <c r="K748" t="s">
        <v>32</v>
      </c>
      <c r="L748">
        <v>56</v>
      </c>
      <c r="M748" t="str">
        <f t="shared" si="11"/>
        <v>OLD</v>
      </c>
      <c r="N748" t="s">
        <v>18</v>
      </c>
    </row>
    <row r="749" spans="1:14" x14ac:dyDescent="0.3">
      <c r="A749">
        <v>12957</v>
      </c>
      <c r="B749" t="s">
        <v>38</v>
      </c>
      <c r="C749" t="s">
        <v>40</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40</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40</v>
      </c>
      <c r="D755" s="1">
        <v>40000</v>
      </c>
      <c r="E755">
        <v>0</v>
      </c>
      <c r="F755" t="s">
        <v>19</v>
      </c>
      <c r="G755" t="s">
        <v>14</v>
      </c>
      <c r="H755" t="s">
        <v>18</v>
      </c>
      <c r="I755">
        <v>1</v>
      </c>
      <c r="J755" t="s">
        <v>26</v>
      </c>
      <c r="K755" t="s">
        <v>32</v>
      </c>
      <c r="L755">
        <v>27</v>
      </c>
      <c r="M755" t="str">
        <f t="shared" si="11"/>
        <v>Adolesent</v>
      </c>
      <c r="N755" t="s">
        <v>18</v>
      </c>
    </row>
    <row r="756" spans="1:14" x14ac:dyDescent="0.3">
      <c r="A756">
        <v>23668</v>
      </c>
      <c r="B756" t="s">
        <v>37</v>
      </c>
      <c r="C756" t="s">
        <v>40</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39</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40</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40</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40</v>
      </c>
      <c r="D763" s="1">
        <v>60000</v>
      </c>
      <c r="E763">
        <v>5</v>
      </c>
      <c r="F763" t="s">
        <v>13</v>
      </c>
      <c r="G763" t="s">
        <v>28</v>
      </c>
      <c r="H763" t="s">
        <v>15</v>
      </c>
      <c r="I763">
        <v>3</v>
      </c>
      <c r="J763" t="s">
        <v>50</v>
      </c>
      <c r="K763" t="s">
        <v>32</v>
      </c>
      <c r="L763">
        <v>59</v>
      </c>
      <c r="M763" t="str">
        <f t="shared" si="11"/>
        <v>OLD</v>
      </c>
      <c r="N763" t="s">
        <v>18</v>
      </c>
    </row>
    <row r="764" spans="1:14" x14ac:dyDescent="0.3">
      <c r="A764">
        <v>20657</v>
      </c>
      <c r="B764" t="s">
        <v>38</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40</v>
      </c>
      <c r="D766" s="1">
        <v>60000</v>
      </c>
      <c r="E766">
        <v>0</v>
      </c>
      <c r="F766" t="s">
        <v>19</v>
      </c>
      <c r="G766" t="s">
        <v>14</v>
      </c>
      <c r="H766" t="s">
        <v>18</v>
      </c>
      <c r="I766">
        <v>1</v>
      </c>
      <c r="J766" t="s">
        <v>26</v>
      </c>
      <c r="K766" t="s">
        <v>32</v>
      </c>
      <c r="L766">
        <v>27</v>
      </c>
      <c r="M766" t="str">
        <f t="shared" si="11"/>
        <v>Adolesent</v>
      </c>
      <c r="N766" t="s">
        <v>18</v>
      </c>
    </row>
    <row r="767" spans="1:14" x14ac:dyDescent="0.3">
      <c r="A767">
        <v>16753</v>
      </c>
      <c r="B767" t="s">
        <v>38</v>
      </c>
      <c r="C767" t="s">
        <v>40</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39</v>
      </c>
      <c r="D768" s="1">
        <v>50000</v>
      </c>
      <c r="E768">
        <v>4</v>
      </c>
      <c r="F768" t="s">
        <v>13</v>
      </c>
      <c r="G768" t="s">
        <v>14</v>
      </c>
      <c r="H768" t="s">
        <v>15</v>
      </c>
      <c r="I768">
        <v>3</v>
      </c>
      <c r="J768" t="s">
        <v>50</v>
      </c>
      <c r="K768" t="s">
        <v>32</v>
      </c>
      <c r="L768">
        <v>42</v>
      </c>
      <c r="M768" t="str">
        <f t="shared" si="11"/>
        <v>Middle Age</v>
      </c>
      <c r="N768" t="s">
        <v>18</v>
      </c>
    </row>
    <row r="769" spans="1:14" x14ac:dyDescent="0.3">
      <c r="A769">
        <v>24979</v>
      </c>
      <c r="B769" t="s">
        <v>37</v>
      </c>
      <c r="C769" t="s">
        <v>40</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40</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40</v>
      </c>
      <c r="D771" s="1">
        <v>100000</v>
      </c>
      <c r="E771">
        <v>4</v>
      </c>
      <c r="F771" t="s">
        <v>13</v>
      </c>
      <c r="G771" t="s">
        <v>28</v>
      </c>
      <c r="H771" t="s">
        <v>15</v>
      </c>
      <c r="I771">
        <v>4</v>
      </c>
      <c r="J771" t="s">
        <v>16</v>
      </c>
      <c r="K771" t="s">
        <v>32</v>
      </c>
      <c r="L771">
        <v>40</v>
      </c>
      <c r="M771" t="str">
        <f t="shared" ref="M771:M834" si="12">IF(L771&gt;55,"OLD",IF(L771&gt;=31,"Middle Age",IF(L771&lt;31,"Adolesent","Invalid")))</f>
        <v>Middle Age</v>
      </c>
      <c r="N771" t="s">
        <v>18</v>
      </c>
    </row>
    <row r="772" spans="1:14" x14ac:dyDescent="0.3">
      <c r="A772">
        <v>17699</v>
      </c>
      <c r="B772" t="s">
        <v>37</v>
      </c>
      <c r="C772" t="s">
        <v>39</v>
      </c>
      <c r="D772" s="1">
        <v>60000</v>
      </c>
      <c r="E772">
        <v>1</v>
      </c>
      <c r="F772" t="s">
        <v>31</v>
      </c>
      <c r="G772" t="s">
        <v>14</v>
      </c>
      <c r="H772" t="s">
        <v>18</v>
      </c>
      <c r="I772">
        <v>0</v>
      </c>
      <c r="J772" t="s">
        <v>16</v>
      </c>
      <c r="K772" t="s">
        <v>32</v>
      </c>
      <c r="L772">
        <v>55</v>
      </c>
      <c r="M772" t="str">
        <f t="shared" si="12"/>
        <v>Middle Age</v>
      </c>
      <c r="N772" t="s">
        <v>18</v>
      </c>
    </row>
    <row r="773" spans="1:14" x14ac:dyDescent="0.3">
      <c r="A773">
        <v>14657</v>
      </c>
      <c r="B773" t="s">
        <v>37</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40</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40</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39</v>
      </c>
      <c r="D777" s="1">
        <v>70000</v>
      </c>
      <c r="E777">
        <v>2</v>
      </c>
      <c r="F777" t="s">
        <v>29</v>
      </c>
      <c r="G777" t="s">
        <v>14</v>
      </c>
      <c r="H777" t="s">
        <v>15</v>
      </c>
      <c r="I777">
        <v>2</v>
      </c>
      <c r="J777" t="s">
        <v>50</v>
      </c>
      <c r="K777" t="s">
        <v>32</v>
      </c>
      <c r="L777">
        <v>54</v>
      </c>
      <c r="M777" t="str">
        <f t="shared" si="12"/>
        <v>Middle Age</v>
      </c>
      <c r="N777" t="s">
        <v>18</v>
      </c>
    </row>
    <row r="778" spans="1:14" x14ac:dyDescent="0.3">
      <c r="A778">
        <v>26490</v>
      </c>
      <c r="B778" t="s">
        <v>38</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39</v>
      </c>
      <c r="D779" s="1">
        <v>40000</v>
      </c>
      <c r="E779">
        <v>0</v>
      </c>
      <c r="F779" t="s">
        <v>27</v>
      </c>
      <c r="G779" t="s">
        <v>14</v>
      </c>
      <c r="H779" t="s">
        <v>15</v>
      </c>
      <c r="I779">
        <v>2</v>
      </c>
      <c r="J779" t="s">
        <v>23</v>
      </c>
      <c r="K779" t="s">
        <v>32</v>
      </c>
      <c r="L779">
        <v>27</v>
      </c>
      <c r="M779" t="str">
        <f t="shared" si="12"/>
        <v>Adolesent</v>
      </c>
      <c r="N779" t="s">
        <v>18</v>
      </c>
    </row>
    <row r="780" spans="1:14" x14ac:dyDescent="0.3">
      <c r="A780">
        <v>17260</v>
      </c>
      <c r="B780" t="s">
        <v>37</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40</v>
      </c>
      <c r="D782" s="1">
        <v>60000</v>
      </c>
      <c r="E782">
        <v>2</v>
      </c>
      <c r="F782" t="s">
        <v>19</v>
      </c>
      <c r="G782" t="s">
        <v>21</v>
      </c>
      <c r="H782" t="s">
        <v>15</v>
      </c>
      <c r="I782">
        <v>1</v>
      </c>
      <c r="J782" t="s">
        <v>50</v>
      </c>
      <c r="K782" t="s">
        <v>32</v>
      </c>
      <c r="L782">
        <v>55</v>
      </c>
      <c r="M782" t="str">
        <f t="shared" si="12"/>
        <v>Middle Age</v>
      </c>
      <c r="N782" t="s">
        <v>18</v>
      </c>
    </row>
    <row r="783" spans="1:14" x14ac:dyDescent="0.3">
      <c r="A783">
        <v>19660</v>
      </c>
      <c r="B783" t="s">
        <v>37</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40</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40</v>
      </c>
      <c r="D787" s="1">
        <v>40000</v>
      </c>
      <c r="E787">
        <v>0</v>
      </c>
      <c r="F787" t="s">
        <v>27</v>
      </c>
      <c r="G787" t="s">
        <v>14</v>
      </c>
      <c r="H787" t="s">
        <v>18</v>
      </c>
      <c r="I787">
        <v>2</v>
      </c>
      <c r="J787" t="s">
        <v>16</v>
      </c>
      <c r="K787" t="s">
        <v>32</v>
      </c>
      <c r="L787">
        <v>28</v>
      </c>
      <c r="M787" t="str">
        <f t="shared" si="12"/>
        <v>Adolesent</v>
      </c>
      <c r="N787" t="s">
        <v>15</v>
      </c>
    </row>
    <row r="788" spans="1:14" x14ac:dyDescent="0.3">
      <c r="A788">
        <v>15468</v>
      </c>
      <c r="B788" t="s">
        <v>37</v>
      </c>
      <c r="C788" t="s">
        <v>40</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40</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40</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40</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39</v>
      </c>
      <c r="D793" s="1">
        <v>40000</v>
      </c>
      <c r="E793">
        <v>0</v>
      </c>
      <c r="F793" t="s">
        <v>27</v>
      </c>
      <c r="G793" t="s">
        <v>14</v>
      </c>
      <c r="H793" t="s">
        <v>15</v>
      </c>
      <c r="I793">
        <v>2</v>
      </c>
      <c r="J793" t="s">
        <v>23</v>
      </c>
      <c r="K793" t="s">
        <v>32</v>
      </c>
      <c r="L793">
        <v>28</v>
      </c>
      <c r="M793" t="str">
        <f t="shared" si="12"/>
        <v>Adolesent</v>
      </c>
      <c r="N793" t="s">
        <v>15</v>
      </c>
    </row>
    <row r="794" spans="1:14" x14ac:dyDescent="0.3">
      <c r="A794">
        <v>23256</v>
      </c>
      <c r="B794" t="s">
        <v>38</v>
      </c>
      <c r="C794" t="s">
        <v>39</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39</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39</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39</v>
      </c>
      <c r="D799" s="1">
        <v>60000</v>
      </c>
      <c r="E799">
        <v>0</v>
      </c>
      <c r="F799" t="s">
        <v>19</v>
      </c>
      <c r="G799" t="s">
        <v>14</v>
      </c>
      <c r="H799" t="s">
        <v>15</v>
      </c>
      <c r="I799">
        <v>1</v>
      </c>
      <c r="J799" t="s">
        <v>23</v>
      </c>
      <c r="K799" t="s">
        <v>32</v>
      </c>
      <c r="L799">
        <v>27</v>
      </c>
      <c r="M799" t="str">
        <f t="shared" si="12"/>
        <v>Adolesent</v>
      </c>
      <c r="N799" t="s">
        <v>15</v>
      </c>
    </row>
    <row r="800" spans="1:14" x14ac:dyDescent="0.3">
      <c r="A800">
        <v>22971</v>
      </c>
      <c r="B800" t="s">
        <v>38</v>
      </c>
      <c r="C800" t="s">
        <v>40</v>
      </c>
      <c r="D800" s="1">
        <v>30000</v>
      </c>
      <c r="E800">
        <v>0</v>
      </c>
      <c r="F800" t="s">
        <v>27</v>
      </c>
      <c r="G800" t="s">
        <v>14</v>
      </c>
      <c r="H800" t="s">
        <v>18</v>
      </c>
      <c r="I800">
        <v>2</v>
      </c>
      <c r="J800" t="s">
        <v>16</v>
      </c>
      <c r="K800" t="s">
        <v>32</v>
      </c>
      <c r="L800">
        <v>25</v>
      </c>
      <c r="M800" t="str">
        <f t="shared" si="12"/>
        <v>Adolesent</v>
      </c>
      <c r="N800" t="s">
        <v>15</v>
      </c>
    </row>
    <row r="801" spans="1:14" x14ac:dyDescent="0.3">
      <c r="A801">
        <v>15287</v>
      </c>
      <c r="B801" t="s">
        <v>38</v>
      </c>
      <c r="C801" t="s">
        <v>40</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39</v>
      </c>
      <c r="D804" s="1">
        <v>40000</v>
      </c>
      <c r="E804">
        <v>0</v>
      </c>
      <c r="F804" t="s">
        <v>19</v>
      </c>
      <c r="G804" t="s">
        <v>14</v>
      </c>
      <c r="H804" t="s">
        <v>15</v>
      </c>
      <c r="I804">
        <v>1</v>
      </c>
      <c r="J804" t="s">
        <v>23</v>
      </c>
      <c r="K804" t="s">
        <v>32</v>
      </c>
      <c r="L804">
        <v>27</v>
      </c>
      <c r="M804" t="str">
        <f t="shared" si="12"/>
        <v>Adolesent</v>
      </c>
      <c r="N804" t="s">
        <v>18</v>
      </c>
    </row>
    <row r="805" spans="1:14" x14ac:dyDescent="0.3">
      <c r="A805">
        <v>15255</v>
      </c>
      <c r="B805" t="s">
        <v>37</v>
      </c>
      <c r="C805" t="s">
        <v>39</v>
      </c>
      <c r="D805" s="1">
        <v>40000</v>
      </c>
      <c r="E805">
        <v>0</v>
      </c>
      <c r="F805" t="s">
        <v>27</v>
      </c>
      <c r="G805" t="s">
        <v>14</v>
      </c>
      <c r="H805" t="s">
        <v>15</v>
      </c>
      <c r="I805">
        <v>2</v>
      </c>
      <c r="J805" t="s">
        <v>23</v>
      </c>
      <c r="K805" t="s">
        <v>32</v>
      </c>
      <c r="L805">
        <v>28</v>
      </c>
      <c r="M805" t="str">
        <f t="shared" si="12"/>
        <v>Adolesent</v>
      </c>
      <c r="N805" t="s">
        <v>15</v>
      </c>
    </row>
    <row r="806" spans="1:14" x14ac:dyDescent="0.3">
      <c r="A806">
        <v>13154</v>
      </c>
      <c r="B806" t="s">
        <v>37</v>
      </c>
      <c r="C806" t="s">
        <v>39</v>
      </c>
      <c r="D806" s="1">
        <v>40000</v>
      </c>
      <c r="E806">
        <v>0</v>
      </c>
      <c r="F806" t="s">
        <v>27</v>
      </c>
      <c r="G806" t="s">
        <v>14</v>
      </c>
      <c r="H806" t="s">
        <v>18</v>
      </c>
      <c r="I806">
        <v>2</v>
      </c>
      <c r="J806" t="s">
        <v>16</v>
      </c>
      <c r="K806" t="s">
        <v>32</v>
      </c>
      <c r="L806">
        <v>27</v>
      </c>
      <c r="M806" t="str">
        <f t="shared" si="12"/>
        <v>Adolesent</v>
      </c>
      <c r="N806" t="s">
        <v>15</v>
      </c>
    </row>
    <row r="807" spans="1:14" x14ac:dyDescent="0.3">
      <c r="A807">
        <v>26778</v>
      </c>
      <c r="B807" t="s">
        <v>38</v>
      </c>
      <c r="C807" t="s">
        <v>40</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40</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40</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40</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40</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40</v>
      </c>
      <c r="D814" s="1">
        <v>70000</v>
      </c>
      <c r="E814">
        <v>4</v>
      </c>
      <c r="F814" t="s">
        <v>13</v>
      </c>
      <c r="G814" t="s">
        <v>28</v>
      </c>
      <c r="H814" t="s">
        <v>15</v>
      </c>
      <c r="I814">
        <v>2</v>
      </c>
      <c r="J814" t="s">
        <v>50</v>
      </c>
      <c r="K814" t="s">
        <v>32</v>
      </c>
      <c r="L814">
        <v>61</v>
      </c>
      <c r="M814" t="str">
        <f t="shared" si="12"/>
        <v>OLD</v>
      </c>
      <c r="N814" t="s">
        <v>18</v>
      </c>
    </row>
    <row r="815" spans="1:14" x14ac:dyDescent="0.3">
      <c r="A815">
        <v>25899</v>
      </c>
      <c r="B815" t="s">
        <v>37</v>
      </c>
      <c r="C815" t="s">
        <v>40</v>
      </c>
      <c r="D815" s="1">
        <v>70000</v>
      </c>
      <c r="E815">
        <v>2</v>
      </c>
      <c r="F815" t="s">
        <v>27</v>
      </c>
      <c r="G815" t="s">
        <v>21</v>
      </c>
      <c r="H815" t="s">
        <v>15</v>
      </c>
      <c r="I815">
        <v>2</v>
      </c>
      <c r="J815" t="s">
        <v>50</v>
      </c>
      <c r="K815" t="s">
        <v>32</v>
      </c>
      <c r="L815">
        <v>53</v>
      </c>
      <c r="M815" t="str">
        <f t="shared" si="12"/>
        <v>Middle Age</v>
      </c>
      <c r="N815" t="s">
        <v>18</v>
      </c>
    </row>
    <row r="816" spans="1:14" x14ac:dyDescent="0.3">
      <c r="A816">
        <v>13351</v>
      </c>
      <c r="B816" t="s">
        <v>38</v>
      </c>
      <c r="C816" t="s">
        <v>40</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39</v>
      </c>
      <c r="D817" s="1">
        <v>40000</v>
      </c>
      <c r="E817">
        <v>0</v>
      </c>
      <c r="F817" t="s">
        <v>19</v>
      </c>
      <c r="G817" t="s">
        <v>14</v>
      </c>
      <c r="H817" t="s">
        <v>18</v>
      </c>
      <c r="I817">
        <v>2</v>
      </c>
      <c r="J817" t="s">
        <v>26</v>
      </c>
      <c r="K817" t="s">
        <v>32</v>
      </c>
      <c r="L817">
        <v>30</v>
      </c>
      <c r="M817" t="str">
        <f t="shared" si="12"/>
        <v>Adolesent</v>
      </c>
      <c r="N817" t="s">
        <v>18</v>
      </c>
    </row>
    <row r="818" spans="1:14" x14ac:dyDescent="0.3">
      <c r="A818">
        <v>21660</v>
      </c>
      <c r="B818" t="s">
        <v>37</v>
      </c>
      <c r="C818" t="s">
        <v>40</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40</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39</v>
      </c>
      <c r="D820" s="1">
        <v>40000</v>
      </c>
      <c r="E820">
        <v>0</v>
      </c>
      <c r="F820" t="s">
        <v>19</v>
      </c>
      <c r="G820" t="s">
        <v>14</v>
      </c>
      <c r="H820" t="s">
        <v>15</v>
      </c>
      <c r="I820">
        <v>1</v>
      </c>
      <c r="J820" t="s">
        <v>23</v>
      </c>
      <c r="K820" t="s">
        <v>32</v>
      </c>
      <c r="L820">
        <v>30</v>
      </c>
      <c r="M820" t="str">
        <f t="shared" si="12"/>
        <v>Adolesent</v>
      </c>
      <c r="N820" t="s">
        <v>18</v>
      </c>
    </row>
    <row r="821" spans="1:14" x14ac:dyDescent="0.3">
      <c r="A821">
        <v>27505</v>
      </c>
      <c r="B821" t="s">
        <v>38</v>
      </c>
      <c r="C821" t="s">
        <v>40</v>
      </c>
      <c r="D821" s="1">
        <v>40000</v>
      </c>
      <c r="E821">
        <v>0</v>
      </c>
      <c r="F821" t="s">
        <v>27</v>
      </c>
      <c r="G821" t="s">
        <v>14</v>
      </c>
      <c r="H821" t="s">
        <v>15</v>
      </c>
      <c r="I821">
        <v>2</v>
      </c>
      <c r="J821" t="s">
        <v>23</v>
      </c>
      <c r="K821" t="s">
        <v>32</v>
      </c>
      <c r="L821">
        <v>30</v>
      </c>
      <c r="M821" t="str">
        <f t="shared" si="12"/>
        <v>Adolesent</v>
      </c>
      <c r="N821" t="s">
        <v>18</v>
      </c>
    </row>
    <row r="822" spans="1:14" x14ac:dyDescent="0.3">
      <c r="A822">
        <v>29243</v>
      </c>
      <c r="B822" t="s">
        <v>38</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40</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40</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40</v>
      </c>
      <c r="D830" s="1">
        <v>40000</v>
      </c>
      <c r="E830">
        <v>0</v>
      </c>
      <c r="F830" t="s">
        <v>29</v>
      </c>
      <c r="G830" t="s">
        <v>20</v>
      </c>
      <c r="H830" t="s">
        <v>15</v>
      </c>
      <c r="I830">
        <v>2</v>
      </c>
      <c r="J830" t="s">
        <v>23</v>
      </c>
      <c r="K830" t="s">
        <v>32</v>
      </c>
      <c r="L830">
        <v>26</v>
      </c>
      <c r="M830" t="str">
        <f t="shared" si="12"/>
        <v>Adolesent</v>
      </c>
      <c r="N830" t="s">
        <v>18</v>
      </c>
    </row>
    <row r="831" spans="1:14" x14ac:dyDescent="0.3">
      <c r="A831">
        <v>16009</v>
      </c>
      <c r="B831" t="s">
        <v>38</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40</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40</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40</v>
      </c>
      <c r="D835" s="1">
        <v>70000</v>
      </c>
      <c r="E835">
        <v>0</v>
      </c>
      <c r="F835" t="s">
        <v>13</v>
      </c>
      <c r="G835" t="s">
        <v>21</v>
      </c>
      <c r="H835" t="s">
        <v>18</v>
      </c>
      <c r="I835">
        <v>1</v>
      </c>
      <c r="J835" t="s">
        <v>16</v>
      </c>
      <c r="K835" t="s">
        <v>32</v>
      </c>
      <c r="L835">
        <v>37</v>
      </c>
      <c r="M835" t="str">
        <f t="shared" ref="M835:M898" si="13">IF(L835&gt;55,"OLD",IF(L835&gt;=31,"Middle Age",IF(L835&lt;31,"Adolesent","Invalid")))</f>
        <v>Middle Age</v>
      </c>
      <c r="N835" t="s">
        <v>15</v>
      </c>
    </row>
    <row r="836" spans="1:14" x14ac:dyDescent="0.3">
      <c r="A836">
        <v>19889</v>
      </c>
      <c r="B836" t="s">
        <v>38</v>
      </c>
      <c r="C836" t="s">
        <v>40</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40</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40</v>
      </c>
      <c r="D838" s="1">
        <v>40000</v>
      </c>
      <c r="E838">
        <v>0</v>
      </c>
      <c r="F838" t="s">
        <v>19</v>
      </c>
      <c r="G838" t="s">
        <v>14</v>
      </c>
      <c r="H838" t="s">
        <v>15</v>
      </c>
      <c r="I838">
        <v>2</v>
      </c>
      <c r="J838" t="s">
        <v>23</v>
      </c>
      <c r="K838" t="s">
        <v>32</v>
      </c>
      <c r="L838">
        <v>28</v>
      </c>
      <c r="M838" t="str">
        <f t="shared" si="13"/>
        <v>Adolesent</v>
      </c>
      <c r="N838" t="s">
        <v>18</v>
      </c>
    </row>
    <row r="839" spans="1:14" x14ac:dyDescent="0.3">
      <c r="A839">
        <v>16773</v>
      </c>
      <c r="B839" t="s">
        <v>37</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40</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40</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39</v>
      </c>
      <c r="D842" s="1">
        <v>70000</v>
      </c>
      <c r="E842">
        <v>4</v>
      </c>
      <c r="F842" t="s">
        <v>19</v>
      </c>
      <c r="G842" t="s">
        <v>21</v>
      </c>
      <c r="H842" t="s">
        <v>15</v>
      </c>
      <c r="I842">
        <v>2</v>
      </c>
      <c r="J842" t="s">
        <v>50</v>
      </c>
      <c r="K842" t="s">
        <v>32</v>
      </c>
      <c r="L842">
        <v>53</v>
      </c>
      <c r="M842" t="str">
        <f t="shared" si="13"/>
        <v>Middle Age</v>
      </c>
      <c r="N842" t="s">
        <v>18</v>
      </c>
    </row>
    <row r="843" spans="1:14" x14ac:dyDescent="0.3">
      <c r="A843">
        <v>12056</v>
      </c>
      <c r="B843" t="s">
        <v>37</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40</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40</v>
      </c>
      <c r="D846" s="1">
        <v>40000</v>
      </c>
      <c r="E846">
        <v>5</v>
      </c>
      <c r="F846" t="s">
        <v>27</v>
      </c>
      <c r="G846" t="s">
        <v>21</v>
      </c>
      <c r="H846" t="s">
        <v>15</v>
      </c>
      <c r="I846">
        <v>2</v>
      </c>
      <c r="J846" t="s">
        <v>50</v>
      </c>
      <c r="K846" t="s">
        <v>32</v>
      </c>
      <c r="L846">
        <v>60</v>
      </c>
      <c r="M846" t="str">
        <f t="shared" si="13"/>
        <v>OLD</v>
      </c>
      <c r="N846" t="s">
        <v>18</v>
      </c>
    </row>
    <row r="847" spans="1:14" x14ac:dyDescent="0.3">
      <c r="A847">
        <v>25343</v>
      </c>
      <c r="B847" t="s">
        <v>38</v>
      </c>
      <c r="C847" t="s">
        <v>40</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40</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40</v>
      </c>
      <c r="D849" s="1">
        <v>40000</v>
      </c>
      <c r="E849">
        <v>0</v>
      </c>
      <c r="F849" t="s">
        <v>29</v>
      </c>
      <c r="G849" t="s">
        <v>20</v>
      </c>
      <c r="H849" t="s">
        <v>15</v>
      </c>
      <c r="I849">
        <v>2</v>
      </c>
      <c r="J849" t="s">
        <v>23</v>
      </c>
      <c r="K849" t="s">
        <v>32</v>
      </c>
      <c r="L849">
        <v>29</v>
      </c>
      <c r="M849" t="str">
        <f t="shared" si="13"/>
        <v>Adolesent</v>
      </c>
      <c r="N849" t="s">
        <v>18</v>
      </c>
    </row>
    <row r="850" spans="1:14" x14ac:dyDescent="0.3">
      <c r="A850">
        <v>13176</v>
      </c>
      <c r="B850" t="s">
        <v>38</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40</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40</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40</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40</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39</v>
      </c>
      <c r="D858" s="1">
        <v>40000</v>
      </c>
      <c r="E858">
        <v>0</v>
      </c>
      <c r="F858" t="s">
        <v>19</v>
      </c>
      <c r="G858" t="s">
        <v>14</v>
      </c>
      <c r="H858" t="s">
        <v>15</v>
      </c>
      <c r="I858">
        <v>1</v>
      </c>
      <c r="J858" t="s">
        <v>23</v>
      </c>
      <c r="K858" t="s">
        <v>32</v>
      </c>
      <c r="L858">
        <v>27</v>
      </c>
      <c r="M858" t="str">
        <f t="shared" si="13"/>
        <v>Adolesent</v>
      </c>
      <c r="N858" t="s">
        <v>18</v>
      </c>
    </row>
    <row r="859" spans="1:14" x14ac:dyDescent="0.3">
      <c r="A859">
        <v>11745</v>
      </c>
      <c r="B859" t="s">
        <v>37</v>
      </c>
      <c r="C859" t="s">
        <v>40</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40</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40</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39</v>
      </c>
      <c r="D868" s="1">
        <v>60000</v>
      </c>
      <c r="E868">
        <v>2</v>
      </c>
      <c r="F868" t="s">
        <v>27</v>
      </c>
      <c r="G868" t="s">
        <v>21</v>
      </c>
      <c r="H868" t="s">
        <v>15</v>
      </c>
      <c r="I868">
        <v>2</v>
      </c>
      <c r="J868" t="s">
        <v>50</v>
      </c>
      <c r="K868" t="s">
        <v>32</v>
      </c>
      <c r="L868">
        <v>55</v>
      </c>
      <c r="M868" t="str">
        <f t="shared" si="13"/>
        <v>Middle Age</v>
      </c>
      <c r="N868" t="s">
        <v>18</v>
      </c>
    </row>
    <row r="869" spans="1:14" x14ac:dyDescent="0.3">
      <c r="A869">
        <v>26693</v>
      </c>
      <c r="B869" t="s">
        <v>37</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39</v>
      </c>
      <c r="D870" s="1">
        <v>30000</v>
      </c>
      <c r="E870">
        <v>5</v>
      </c>
      <c r="F870" t="s">
        <v>29</v>
      </c>
      <c r="G870" t="s">
        <v>14</v>
      </c>
      <c r="H870" t="s">
        <v>15</v>
      </c>
      <c r="I870">
        <v>3</v>
      </c>
      <c r="J870" t="s">
        <v>50</v>
      </c>
      <c r="K870" t="s">
        <v>32</v>
      </c>
      <c r="L870">
        <v>60</v>
      </c>
      <c r="M870" t="str">
        <f t="shared" si="13"/>
        <v>OLD</v>
      </c>
      <c r="N870" t="s">
        <v>15</v>
      </c>
    </row>
    <row r="871" spans="1:14" x14ac:dyDescent="0.3">
      <c r="A871">
        <v>26065</v>
      </c>
      <c r="B871" t="s">
        <v>38</v>
      </c>
      <c r="C871" t="s">
        <v>40</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39</v>
      </c>
      <c r="D873" s="1">
        <v>60000</v>
      </c>
      <c r="E873">
        <v>2</v>
      </c>
      <c r="F873" t="s">
        <v>27</v>
      </c>
      <c r="G873" t="s">
        <v>21</v>
      </c>
      <c r="H873" t="s">
        <v>15</v>
      </c>
      <c r="I873">
        <v>2</v>
      </c>
      <c r="J873" t="s">
        <v>50</v>
      </c>
      <c r="K873" t="s">
        <v>32</v>
      </c>
      <c r="L873">
        <v>55</v>
      </c>
      <c r="M873" t="str">
        <f t="shared" si="13"/>
        <v>Middle Age</v>
      </c>
      <c r="N873" t="s">
        <v>18</v>
      </c>
    </row>
    <row r="874" spans="1:14" x14ac:dyDescent="0.3">
      <c r="A874">
        <v>22118</v>
      </c>
      <c r="B874" t="s">
        <v>38</v>
      </c>
      <c r="C874" t="s">
        <v>40</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40</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40</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39</v>
      </c>
      <c r="D878" s="1">
        <v>30000</v>
      </c>
      <c r="E878">
        <v>0</v>
      </c>
      <c r="F878" t="s">
        <v>29</v>
      </c>
      <c r="G878" t="s">
        <v>20</v>
      </c>
      <c r="H878" t="s">
        <v>18</v>
      </c>
      <c r="I878">
        <v>2</v>
      </c>
      <c r="J878" t="s">
        <v>16</v>
      </c>
      <c r="K878" t="s">
        <v>32</v>
      </c>
      <c r="L878">
        <v>26</v>
      </c>
      <c r="M878" t="str">
        <f t="shared" si="13"/>
        <v>Adolesent</v>
      </c>
      <c r="N878" t="s">
        <v>18</v>
      </c>
    </row>
    <row r="879" spans="1:14" x14ac:dyDescent="0.3">
      <c r="A879">
        <v>15879</v>
      </c>
      <c r="B879" t="s">
        <v>37</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40</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40</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40</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40</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40</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40</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40</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40</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40</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39</v>
      </c>
      <c r="D899" s="1">
        <v>30000</v>
      </c>
      <c r="E899">
        <v>0</v>
      </c>
      <c r="F899" t="s">
        <v>29</v>
      </c>
      <c r="G899" t="s">
        <v>20</v>
      </c>
      <c r="H899" t="s">
        <v>18</v>
      </c>
      <c r="I899">
        <v>2</v>
      </c>
      <c r="J899" t="s">
        <v>16</v>
      </c>
      <c r="K899" t="s">
        <v>32</v>
      </c>
      <c r="L899">
        <v>28</v>
      </c>
      <c r="M899" t="str">
        <f t="shared" ref="M899:M962" si="14">IF(L899&gt;55,"OLD",IF(L899&gt;=31,"Middle Age",IF(L899&lt;31,"Adolesent","Invalid")))</f>
        <v>Adolesent</v>
      </c>
      <c r="N899" t="s">
        <v>18</v>
      </c>
    </row>
    <row r="900" spans="1:14" x14ac:dyDescent="0.3">
      <c r="A900">
        <v>18066</v>
      </c>
      <c r="B900" t="s">
        <v>38</v>
      </c>
      <c r="C900" t="s">
        <v>39</v>
      </c>
      <c r="D900" s="1">
        <v>70000</v>
      </c>
      <c r="E900">
        <v>5</v>
      </c>
      <c r="F900" t="s">
        <v>13</v>
      </c>
      <c r="G900" t="s">
        <v>28</v>
      </c>
      <c r="H900" t="s">
        <v>15</v>
      </c>
      <c r="I900">
        <v>3</v>
      </c>
      <c r="J900" t="s">
        <v>50</v>
      </c>
      <c r="K900" t="s">
        <v>32</v>
      </c>
      <c r="L900">
        <v>60</v>
      </c>
      <c r="M900" t="str">
        <f t="shared" si="14"/>
        <v>OLD</v>
      </c>
      <c r="N900" t="s">
        <v>15</v>
      </c>
    </row>
    <row r="901" spans="1:14" x14ac:dyDescent="0.3">
      <c r="A901">
        <v>28192</v>
      </c>
      <c r="B901" t="s">
        <v>37</v>
      </c>
      <c r="C901" t="s">
        <v>40</v>
      </c>
      <c r="D901" s="1">
        <v>70000</v>
      </c>
      <c r="E901">
        <v>5</v>
      </c>
      <c r="F901" t="s">
        <v>31</v>
      </c>
      <c r="G901" t="s">
        <v>21</v>
      </c>
      <c r="H901" t="s">
        <v>15</v>
      </c>
      <c r="I901">
        <v>3</v>
      </c>
      <c r="J901" t="s">
        <v>50</v>
      </c>
      <c r="K901" t="s">
        <v>32</v>
      </c>
      <c r="L901">
        <v>46</v>
      </c>
      <c r="M901" t="str">
        <f t="shared" si="14"/>
        <v>Middle Age</v>
      </c>
      <c r="N901" t="s">
        <v>18</v>
      </c>
    </row>
    <row r="902" spans="1:14" x14ac:dyDescent="0.3">
      <c r="A902">
        <v>16122</v>
      </c>
      <c r="B902" t="s">
        <v>37</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40</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40</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39</v>
      </c>
      <c r="D909" s="1">
        <v>50000</v>
      </c>
      <c r="E909">
        <v>4</v>
      </c>
      <c r="F909" t="s">
        <v>13</v>
      </c>
      <c r="G909" t="s">
        <v>28</v>
      </c>
      <c r="H909" t="s">
        <v>15</v>
      </c>
      <c r="I909">
        <v>2</v>
      </c>
      <c r="J909" t="s">
        <v>50</v>
      </c>
      <c r="K909" t="s">
        <v>32</v>
      </c>
      <c r="L909">
        <v>63</v>
      </c>
      <c r="M909" t="str">
        <f t="shared" si="14"/>
        <v>OLD</v>
      </c>
      <c r="N909" t="s">
        <v>18</v>
      </c>
    </row>
    <row r="910" spans="1:14" x14ac:dyDescent="0.3">
      <c r="A910">
        <v>23195</v>
      </c>
      <c r="B910" t="s">
        <v>38</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40</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40</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39</v>
      </c>
      <c r="D917" s="1">
        <v>60000</v>
      </c>
      <c r="E917">
        <v>3</v>
      </c>
      <c r="F917" t="s">
        <v>31</v>
      </c>
      <c r="G917" t="s">
        <v>28</v>
      </c>
      <c r="H917" t="s">
        <v>15</v>
      </c>
      <c r="I917">
        <v>2</v>
      </c>
      <c r="J917" t="s">
        <v>50</v>
      </c>
      <c r="K917" t="s">
        <v>32</v>
      </c>
      <c r="L917">
        <v>64</v>
      </c>
      <c r="M917" t="str">
        <f t="shared" si="14"/>
        <v>OLD</v>
      </c>
      <c r="N917" t="s">
        <v>18</v>
      </c>
    </row>
    <row r="918" spans="1:14" x14ac:dyDescent="0.3">
      <c r="A918">
        <v>27273</v>
      </c>
      <c r="B918" t="s">
        <v>38</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40</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40</v>
      </c>
      <c r="D921" s="1">
        <v>40000</v>
      </c>
      <c r="E921">
        <v>4</v>
      </c>
      <c r="F921" t="s">
        <v>27</v>
      </c>
      <c r="G921" t="s">
        <v>21</v>
      </c>
      <c r="H921" t="s">
        <v>15</v>
      </c>
      <c r="I921">
        <v>2</v>
      </c>
      <c r="J921" t="s">
        <v>50</v>
      </c>
      <c r="K921" t="s">
        <v>32</v>
      </c>
      <c r="L921">
        <v>61</v>
      </c>
      <c r="M921" t="str">
        <f t="shared" si="14"/>
        <v>OLD</v>
      </c>
      <c r="N921" t="s">
        <v>18</v>
      </c>
    </row>
    <row r="922" spans="1:14" x14ac:dyDescent="0.3">
      <c r="A922">
        <v>20754</v>
      </c>
      <c r="B922" t="s">
        <v>37</v>
      </c>
      <c r="C922" t="s">
        <v>39</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40</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40</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39</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40</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40</v>
      </c>
      <c r="D928" s="1">
        <v>40000</v>
      </c>
      <c r="E928">
        <v>2</v>
      </c>
      <c r="F928" t="s">
        <v>27</v>
      </c>
      <c r="G928" t="s">
        <v>21</v>
      </c>
      <c r="H928" t="s">
        <v>15</v>
      </c>
      <c r="I928">
        <v>2</v>
      </c>
      <c r="J928" t="s">
        <v>50</v>
      </c>
      <c r="K928" t="s">
        <v>32</v>
      </c>
      <c r="L928">
        <v>57</v>
      </c>
      <c r="M928" t="str">
        <f t="shared" si="14"/>
        <v>OLD</v>
      </c>
      <c r="N928" t="s">
        <v>18</v>
      </c>
    </row>
    <row r="929" spans="1:14" x14ac:dyDescent="0.3">
      <c r="A929">
        <v>11823</v>
      </c>
      <c r="B929" t="s">
        <v>37</v>
      </c>
      <c r="C929" t="s">
        <v>40</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39</v>
      </c>
      <c r="D932" s="1">
        <v>70000</v>
      </c>
      <c r="E932">
        <v>5</v>
      </c>
      <c r="F932" t="s">
        <v>31</v>
      </c>
      <c r="G932" t="s">
        <v>21</v>
      </c>
      <c r="H932" t="s">
        <v>18</v>
      </c>
      <c r="I932">
        <v>3</v>
      </c>
      <c r="J932" t="s">
        <v>50</v>
      </c>
      <c r="K932" t="s">
        <v>32</v>
      </c>
      <c r="L932">
        <v>47</v>
      </c>
      <c r="M932" t="str">
        <f t="shared" si="14"/>
        <v>Middle Age</v>
      </c>
      <c r="N932" t="s">
        <v>18</v>
      </c>
    </row>
    <row r="933" spans="1:14" x14ac:dyDescent="0.3">
      <c r="A933">
        <v>14914</v>
      </c>
      <c r="B933" t="s">
        <v>37</v>
      </c>
      <c r="C933" t="s">
        <v>40</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40</v>
      </c>
      <c r="D934" s="1">
        <v>40000</v>
      </c>
      <c r="E934">
        <v>0</v>
      </c>
      <c r="F934" t="s">
        <v>27</v>
      </c>
      <c r="G934" t="s">
        <v>14</v>
      </c>
      <c r="H934" t="s">
        <v>18</v>
      </c>
      <c r="I934">
        <v>2</v>
      </c>
      <c r="J934" t="s">
        <v>16</v>
      </c>
      <c r="K934" t="s">
        <v>32</v>
      </c>
      <c r="L934">
        <v>27</v>
      </c>
      <c r="M934" t="str">
        <f t="shared" si="14"/>
        <v>Adolesent</v>
      </c>
      <c r="N934" t="s">
        <v>15</v>
      </c>
    </row>
    <row r="935" spans="1:14" x14ac:dyDescent="0.3">
      <c r="A935">
        <v>11941</v>
      </c>
      <c r="B935" t="s">
        <v>38</v>
      </c>
      <c r="C935" t="s">
        <v>39</v>
      </c>
      <c r="D935" s="1">
        <v>60000</v>
      </c>
      <c r="E935">
        <v>0</v>
      </c>
      <c r="F935" t="s">
        <v>19</v>
      </c>
      <c r="G935" t="s">
        <v>14</v>
      </c>
      <c r="H935" t="s">
        <v>15</v>
      </c>
      <c r="I935">
        <v>0</v>
      </c>
      <c r="J935" t="s">
        <v>23</v>
      </c>
      <c r="K935" t="s">
        <v>32</v>
      </c>
      <c r="L935">
        <v>29</v>
      </c>
      <c r="M935" t="str">
        <f t="shared" si="14"/>
        <v>Adolesent</v>
      </c>
      <c r="N935" t="s">
        <v>18</v>
      </c>
    </row>
    <row r="936" spans="1:14" x14ac:dyDescent="0.3">
      <c r="A936">
        <v>14389</v>
      </c>
      <c r="B936" t="s">
        <v>37</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40</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40</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40</v>
      </c>
      <c r="D940" s="1">
        <v>40000</v>
      </c>
      <c r="E940">
        <v>0</v>
      </c>
      <c r="F940" t="s">
        <v>27</v>
      </c>
      <c r="G940" t="s">
        <v>14</v>
      </c>
      <c r="H940" t="s">
        <v>15</v>
      </c>
      <c r="I940">
        <v>2</v>
      </c>
      <c r="J940" t="s">
        <v>23</v>
      </c>
      <c r="K940" t="s">
        <v>32</v>
      </c>
      <c r="L940">
        <v>27</v>
      </c>
      <c r="M940" t="str">
        <f t="shared" si="14"/>
        <v>Adolesent</v>
      </c>
      <c r="N940" t="s">
        <v>18</v>
      </c>
    </row>
    <row r="941" spans="1:14" x14ac:dyDescent="0.3">
      <c r="A941">
        <v>23455</v>
      </c>
      <c r="B941" t="s">
        <v>38</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40</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40</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40</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40</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40</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40</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40</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40</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39</v>
      </c>
      <c r="D951" s="1">
        <v>70000</v>
      </c>
      <c r="E951">
        <v>2</v>
      </c>
      <c r="F951" t="s">
        <v>29</v>
      </c>
      <c r="G951" t="s">
        <v>14</v>
      </c>
      <c r="H951" t="s">
        <v>15</v>
      </c>
      <c r="I951">
        <v>2</v>
      </c>
      <c r="J951" t="s">
        <v>50</v>
      </c>
      <c r="K951" t="s">
        <v>32</v>
      </c>
      <c r="L951">
        <v>53</v>
      </c>
      <c r="M951" t="str">
        <f t="shared" si="14"/>
        <v>Middle Age</v>
      </c>
      <c r="N951" t="s">
        <v>18</v>
      </c>
    </row>
    <row r="952" spans="1:14" x14ac:dyDescent="0.3">
      <c r="A952">
        <v>11788</v>
      </c>
      <c r="B952" t="s">
        <v>38</v>
      </c>
      <c r="C952" t="s">
        <v>40</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40</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40</v>
      </c>
      <c r="D955" s="1">
        <v>40000</v>
      </c>
      <c r="E955">
        <v>3</v>
      </c>
      <c r="F955" t="s">
        <v>19</v>
      </c>
      <c r="G955" t="s">
        <v>20</v>
      </c>
      <c r="H955" t="s">
        <v>15</v>
      </c>
      <c r="I955">
        <v>1</v>
      </c>
      <c r="J955" t="s">
        <v>26</v>
      </c>
      <c r="K955" t="s">
        <v>32</v>
      </c>
      <c r="L955">
        <v>30</v>
      </c>
      <c r="M955" t="str">
        <f t="shared" si="14"/>
        <v>Adolesent</v>
      </c>
      <c r="N955" t="s">
        <v>15</v>
      </c>
    </row>
    <row r="956" spans="1:14" x14ac:dyDescent="0.3">
      <c r="A956">
        <v>14662</v>
      </c>
      <c r="B956" t="s">
        <v>37</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40</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40</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40</v>
      </c>
      <c r="D959" s="1">
        <v>60000</v>
      </c>
      <c r="E959">
        <v>0</v>
      </c>
      <c r="F959" t="s">
        <v>19</v>
      </c>
      <c r="G959" t="s">
        <v>21</v>
      </c>
      <c r="H959" t="s">
        <v>15</v>
      </c>
      <c r="I959">
        <v>2</v>
      </c>
      <c r="J959" t="s">
        <v>23</v>
      </c>
      <c r="K959" t="s">
        <v>32</v>
      </c>
      <c r="L959">
        <v>30</v>
      </c>
      <c r="M959" t="str">
        <f t="shared" si="14"/>
        <v>Adolesent</v>
      </c>
      <c r="N959" t="s">
        <v>18</v>
      </c>
    </row>
    <row r="960" spans="1:14" x14ac:dyDescent="0.3">
      <c r="A960">
        <v>21940</v>
      </c>
      <c r="B960" t="s">
        <v>37</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40</v>
      </c>
      <c r="D963" s="1">
        <v>120000</v>
      </c>
      <c r="E963">
        <v>2</v>
      </c>
      <c r="F963" t="s">
        <v>13</v>
      </c>
      <c r="G963" t="s">
        <v>28</v>
      </c>
      <c r="H963" t="s">
        <v>15</v>
      </c>
      <c r="I963">
        <v>3</v>
      </c>
      <c r="J963" t="s">
        <v>23</v>
      </c>
      <c r="K963" t="s">
        <v>32</v>
      </c>
      <c r="L963">
        <v>62</v>
      </c>
      <c r="M963" t="str">
        <f t="shared" ref="M963:M1026" si="15">IF(L963&gt;55,"OLD",IF(L963&gt;=31,"Middle Age",IF(L963&lt;31,"Adolesent","Invalid")))</f>
        <v>OLD</v>
      </c>
      <c r="N963" t="s">
        <v>18</v>
      </c>
    </row>
    <row r="964" spans="1:14" x14ac:dyDescent="0.3">
      <c r="A964">
        <v>16813</v>
      </c>
      <c r="B964" t="s">
        <v>37</v>
      </c>
      <c r="C964" t="s">
        <v>39</v>
      </c>
      <c r="D964" s="1">
        <v>60000</v>
      </c>
      <c r="E964">
        <v>2</v>
      </c>
      <c r="F964" t="s">
        <v>19</v>
      </c>
      <c r="G964" t="s">
        <v>21</v>
      </c>
      <c r="H964" t="s">
        <v>15</v>
      </c>
      <c r="I964">
        <v>2</v>
      </c>
      <c r="J964" t="s">
        <v>50</v>
      </c>
      <c r="K964" t="s">
        <v>32</v>
      </c>
      <c r="L964">
        <v>55</v>
      </c>
      <c r="M964" t="str">
        <f t="shared" si="15"/>
        <v>Middle Age</v>
      </c>
      <c r="N964" t="s">
        <v>18</v>
      </c>
    </row>
    <row r="965" spans="1:14" x14ac:dyDescent="0.3">
      <c r="A965">
        <v>16007</v>
      </c>
      <c r="B965" t="s">
        <v>37</v>
      </c>
      <c r="C965" t="s">
        <v>40</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39</v>
      </c>
      <c r="D966" s="1">
        <v>70000</v>
      </c>
      <c r="E966">
        <v>4</v>
      </c>
      <c r="F966" t="s">
        <v>19</v>
      </c>
      <c r="G966" t="s">
        <v>21</v>
      </c>
      <c r="H966" t="s">
        <v>15</v>
      </c>
      <c r="I966">
        <v>1</v>
      </c>
      <c r="J966" t="s">
        <v>50</v>
      </c>
      <c r="K966" t="s">
        <v>32</v>
      </c>
      <c r="L966">
        <v>56</v>
      </c>
      <c r="M966" t="str">
        <f t="shared" si="15"/>
        <v>OLD</v>
      </c>
      <c r="N966" t="s">
        <v>18</v>
      </c>
    </row>
    <row r="967" spans="1:14" x14ac:dyDescent="0.3">
      <c r="A967">
        <v>27756</v>
      </c>
      <c r="B967" t="s">
        <v>38</v>
      </c>
      <c r="C967" t="s">
        <v>40</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40</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39</v>
      </c>
      <c r="D970" s="1">
        <v>30000</v>
      </c>
      <c r="E970">
        <v>0</v>
      </c>
      <c r="F970" t="s">
        <v>29</v>
      </c>
      <c r="G970" t="s">
        <v>20</v>
      </c>
      <c r="H970" t="s">
        <v>18</v>
      </c>
      <c r="I970">
        <v>2</v>
      </c>
      <c r="J970" t="s">
        <v>23</v>
      </c>
      <c r="K970" t="s">
        <v>32</v>
      </c>
      <c r="L970">
        <v>27</v>
      </c>
      <c r="M970" t="str">
        <f t="shared" si="15"/>
        <v>Adolesent</v>
      </c>
      <c r="N970" t="s">
        <v>18</v>
      </c>
    </row>
    <row r="971" spans="1:14" x14ac:dyDescent="0.3">
      <c r="A971">
        <v>29037</v>
      </c>
      <c r="B971" t="s">
        <v>37</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40</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40</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40</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40</v>
      </c>
      <c r="D978" s="1">
        <v>60000</v>
      </c>
      <c r="E978">
        <v>3</v>
      </c>
      <c r="F978" t="s">
        <v>13</v>
      </c>
      <c r="G978" t="s">
        <v>28</v>
      </c>
      <c r="H978" t="s">
        <v>15</v>
      </c>
      <c r="I978">
        <v>2</v>
      </c>
      <c r="J978" t="s">
        <v>50</v>
      </c>
      <c r="K978" t="s">
        <v>32</v>
      </c>
      <c r="L978">
        <v>66</v>
      </c>
      <c r="M978" t="str">
        <f t="shared" si="15"/>
        <v>OLD</v>
      </c>
      <c r="N978" t="s">
        <v>18</v>
      </c>
    </row>
    <row r="979" spans="1:14" x14ac:dyDescent="0.3">
      <c r="A979">
        <v>19741</v>
      </c>
      <c r="B979" t="s">
        <v>38</v>
      </c>
      <c r="C979" t="s">
        <v>40</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40</v>
      </c>
      <c r="D982" s="1">
        <v>80000</v>
      </c>
      <c r="E982">
        <v>3</v>
      </c>
      <c r="F982" t="s">
        <v>13</v>
      </c>
      <c r="G982" t="s">
        <v>14</v>
      </c>
      <c r="H982" t="s">
        <v>15</v>
      </c>
      <c r="I982">
        <v>3</v>
      </c>
      <c r="J982" t="s">
        <v>50</v>
      </c>
      <c r="K982" t="s">
        <v>32</v>
      </c>
      <c r="L982">
        <v>40</v>
      </c>
      <c r="M982" t="str">
        <f t="shared" si="15"/>
        <v>Middle Age</v>
      </c>
      <c r="N982" t="s">
        <v>15</v>
      </c>
    </row>
    <row r="983" spans="1:14" x14ac:dyDescent="0.3">
      <c r="A983">
        <v>15982</v>
      </c>
      <c r="B983" t="s">
        <v>37</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40</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39</v>
      </c>
      <c r="D988" s="1">
        <v>40000</v>
      </c>
      <c r="E988">
        <v>5</v>
      </c>
      <c r="F988" t="s">
        <v>27</v>
      </c>
      <c r="G988" t="s">
        <v>21</v>
      </c>
      <c r="H988" t="s">
        <v>15</v>
      </c>
      <c r="I988">
        <v>4</v>
      </c>
      <c r="J988" t="s">
        <v>50</v>
      </c>
      <c r="K988" t="s">
        <v>32</v>
      </c>
      <c r="L988">
        <v>60</v>
      </c>
      <c r="M988" t="str">
        <f t="shared" si="15"/>
        <v>OLD</v>
      </c>
      <c r="N988" t="s">
        <v>15</v>
      </c>
    </row>
    <row r="989" spans="1:14" x14ac:dyDescent="0.3">
      <c r="A989">
        <v>28972</v>
      </c>
      <c r="B989" t="s">
        <v>38</v>
      </c>
      <c r="C989" t="s">
        <v>40</v>
      </c>
      <c r="D989" s="1">
        <v>60000</v>
      </c>
      <c r="E989">
        <v>3</v>
      </c>
      <c r="F989" t="s">
        <v>31</v>
      </c>
      <c r="G989" t="s">
        <v>28</v>
      </c>
      <c r="H989" t="s">
        <v>15</v>
      </c>
      <c r="I989">
        <v>2</v>
      </c>
      <c r="J989" t="s">
        <v>50</v>
      </c>
      <c r="K989" t="s">
        <v>32</v>
      </c>
      <c r="L989">
        <v>66</v>
      </c>
      <c r="M989" t="str">
        <f t="shared" si="15"/>
        <v>OLD</v>
      </c>
      <c r="N989" t="s">
        <v>18</v>
      </c>
    </row>
    <row r="990" spans="1:14" x14ac:dyDescent="0.3">
      <c r="A990">
        <v>22730</v>
      </c>
      <c r="B990" t="s">
        <v>37</v>
      </c>
      <c r="C990" t="s">
        <v>39</v>
      </c>
      <c r="D990" s="1">
        <v>70000</v>
      </c>
      <c r="E990">
        <v>5</v>
      </c>
      <c r="F990" t="s">
        <v>13</v>
      </c>
      <c r="G990" t="s">
        <v>28</v>
      </c>
      <c r="H990" t="s">
        <v>15</v>
      </c>
      <c r="I990">
        <v>2</v>
      </c>
      <c r="J990" t="s">
        <v>50</v>
      </c>
      <c r="K990" t="s">
        <v>32</v>
      </c>
      <c r="L990">
        <v>63</v>
      </c>
      <c r="M990" t="str">
        <f t="shared" si="15"/>
        <v>OLD</v>
      </c>
      <c r="N990" t="s">
        <v>18</v>
      </c>
    </row>
    <row r="991" spans="1:14" x14ac:dyDescent="0.3">
      <c r="A991">
        <v>29134</v>
      </c>
      <c r="B991" t="s">
        <v>37</v>
      </c>
      <c r="C991" t="s">
        <v>39</v>
      </c>
      <c r="D991" s="1">
        <v>60000</v>
      </c>
      <c r="E991">
        <v>4</v>
      </c>
      <c r="F991" t="s">
        <v>13</v>
      </c>
      <c r="G991" t="s">
        <v>14</v>
      </c>
      <c r="H991" t="s">
        <v>18</v>
      </c>
      <c r="I991">
        <v>3</v>
      </c>
      <c r="J991" t="s">
        <v>50</v>
      </c>
      <c r="K991" t="s">
        <v>32</v>
      </c>
      <c r="L991">
        <v>42</v>
      </c>
      <c r="M991" t="str">
        <f t="shared" si="15"/>
        <v>Middle Age</v>
      </c>
      <c r="N991" t="s">
        <v>18</v>
      </c>
    </row>
    <row r="992" spans="1:14" x14ac:dyDescent="0.3">
      <c r="A992">
        <v>14332</v>
      </c>
      <c r="B992" t="s">
        <v>38</v>
      </c>
      <c r="C992" t="s">
        <v>40</v>
      </c>
      <c r="D992" s="1">
        <v>30000</v>
      </c>
      <c r="E992">
        <v>0</v>
      </c>
      <c r="F992" t="s">
        <v>27</v>
      </c>
      <c r="G992" t="s">
        <v>14</v>
      </c>
      <c r="H992" t="s">
        <v>18</v>
      </c>
      <c r="I992">
        <v>2</v>
      </c>
      <c r="J992" t="s">
        <v>23</v>
      </c>
      <c r="K992" t="s">
        <v>32</v>
      </c>
      <c r="L992">
        <v>26</v>
      </c>
      <c r="M992" t="str">
        <f t="shared" si="15"/>
        <v>Adolesent</v>
      </c>
      <c r="N992" t="s">
        <v>18</v>
      </c>
    </row>
    <row r="993" spans="1:14" x14ac:dyDescent="0.3">
      <c r="A993">
        <v>19117</v>
      </c>
      <c r="B993" t="s">
        <v>38</v>
      </c>
      <c r="C993" t="s">
        <v>40</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39</v>
      </c>
      <c r="D1001" s="1">
        <v>60000</v>
      </c>
      <c r="E1001">
        <v>3</v>
      </c>
      <c r="F1001" t="s">
        <v>27</v>
      </c>
      <c r="G1001" t="s">
        <v>21</v>
      </c>
      <c r="H1001" t="s">
        <v>15</v>
      </c>
      <c r="I1001">
        <v>2</v>
      </c>
      <c r="J1001" t="s">
        <v>50</v>
      </c>
      <c r="K1001" t="s">
        <v>32</v>
      </c>
      <c r="L1001">
        <v>53</v>
      </c>
      <c r="M1001" t="str">
        <f t="shared" si="15"/>
        <v>Middle Age</v>
      </c>
      <c r="N1001" t="s">
        <v>15</v>
      </c>
    </row>
    <row r="1002" spans="1:14" x14ac:dyDescent="0.3">
      <c r="A1002">
        <v>13507</v>
      </c>
      <c r="B1002" t="s">
        <v>37</v>
      </c>
      <c r="C1002" t="s">
        <v>40</v>
      </c>
      <c r="D1002" s="1">
        <v>10000</v>
      </c>
      <c r="E1002">
        <v>2</v>
      </c>
      <c r="F1002" t="s">
        <v>19</v>
      </c>
      <c r="G1002" t="s">
        <v>25</v>
      </c>
      <c r="H1002" t="s">
        <v>15</v>
      </c>
      <c r="I1002">
        <v>0</v>
      </c>
      <c r="J1002" t="s">
        <v>26</v>
      </c>
      <c r="K1002" t="s">
        <v>17</v>
      </c>
      <c r="L1002">
        <v>50</v>
      </c>
      <c r="M1002" t="str">
        <f t="shared" si="15"/>
        <v>Middle Age</v>
      </c>
      <c r="N1002" t="s">
        <v>18</v>
      </c>
    </row>
    <row r="1003" spans="1:14" x14ac:dyDescent="0.3">
      <c r="A1003">
        <v>19280</v>
      </c>
      <c r="B1003" t="s">
        <v>37</v>
      </c>
      <c r="C1003" t="s">
        <v>39</v>
      </c>
      <c r="D1003" s="1">
        <v>120000</v>
      </c>
      <c r="E1003">
        <v>2</v>
      </c>
      <c r="F1003" t="s">
        <v>19</v>
      </c>
      <c r="G1003" t="s">
        <v>25</v>
      </c>
      <c r="H1003" t="s">
        <v>15</v>
      </c>
      <c r="I1003">
        <v>1</v>
      </c>
      <c r="J1003" t="s">
        <v>16</v>
      </c>
      <c r="K1003" t="s">
        <v>17</v>
      </c>
      <c r="L1003">
        <v>40</v>
      </c>
      <c r="M1003" t="str">
        <f t="shared" si="15"/>
        <v>Middle Age</v>
      </c>
      <c r="N1003" t="s">
        <v>15</v>
      </c>
    </row>
    <row r="1004" spans="1:14" x14ac:dyDescent="0.3">
      <c r="A1004">
        <v>22173</v>
      </c>
      <c r="B1004" t="s">
        <v>37</v>
      </c>
      <c r="C1004" t="s">
        <v>40</v>
      </c>
      <c r="D1004" s="1">
        <v>30000</v>
      </c>
      <c r="E1004">
        <v>3</v>
      </c>
      <c r="F1004" t="s">
        <v>27</v>
      </c>
      <c r="G1004" t="s">
        <v>14</v>
      </c>
      <c r="H1004" t="s">
        <v>18</v>
      </c>
      <c r="I1004">
        <v>2</v>
      </c>
      <c r="J1004" t="s">
        <v>26</v>
      </c>
      <c r="K1004" t="s">
        <v>24</v>
      </c>
      <c r="L1004">
        <v>54</v>
      </c>
      <c r="M1004" t="str">
        <f t="shared" si="15"/>
        <v>Middle Age</v>
      </c>
      <c r="N1004" t="s">
        <v>15</v>
      </c>
    </row>
    <row r="1005" spans="1:14" x14ac:dyDescent="0.3">
      <c r="A1005">
        <v>12697</v>
      </c>
      <c r="B1005" t="s">
        <v>38</v>
      </c>
      <c r="C1005" t="s">
        <v>40</v>
      </c>
      <c r="D1005" s="1">
        <v>90000</v>
      </c>
      <c r="E1005">
        <v>0</v>
      </c>
      <c r="F1005" t="s">
        <v>13</v>
      </c>
      <c r="G1005" t="s">
        <v>21</v>
      </c>
      <c r="H1005" t="s">
        <v>18</v>
      </c>
      <c r="I1005">
        <v>4</v>
      </c>
      <c r="J1005" t="s">
        <v>50</v>
      </c>
      <c r="K1005" t="s">
        <v>24</v>
      </c>
      <c r="L1005">
        <v>36</v>
      </c>
      <c r="M1005" t="str">
        <f t="shared" si="15"/>
        <v>Middle Age</v>
      </c>
      <c r="N1005" t="s">
        <v>18</v>
      </c>
    </row>
    <row r="1006" spans="1:14" x14ac:dyDescent="0.3">
      <c r="A1006">
        <v>11434</v>
      </c>
      <c r="B1006" t="s">
        <v>37</v>
      </c>
      <c r="C1006" t="s">
        <v>39</v>
      </c>
      <c r="D1006" s="1">
        <v>170000</v>
      </c>
      <c r="E1006">
        <v>5</v>
      </c>
      <c r="F1006" t="s">
        <v>19</v>
      </c>
      <c r="G1006" t="s">
        <v>21</v>
      </c>
      <c r="H1006" t="s">
        <v>15</v>
      </c>
      <c r="I1006">
        <v>0</v>
      </c>
      <c r="J1006" t="s">
        <v>16</v>
      </c>
      <c r="K1006" t="s">
        <v>17</v>
      </c>
      <c r="L1006">
        <v>55</v>
      </c>
      <c r="M1006" t="str">
        <f t="shared" si="15"/>
        <v>Middle Age</v>
      </c>
      <c r="N1006" t="s">
        <v>18</v>
      </c>
    </row>
    <row r="1007" spans="1:14" x14ac:dyDescent="0.3">
      <c r="A1007">
        <v>25323</v>
      </c>
      <c r="B1007" t="s">
        <v>37</v>
      </c>
      <c r="C1007" t="s">
        <v>39</v>
      </c>
      <c r="D1007" s="1">
        <v>40000</v>
      </c>
      <c r="E1007">
        <v>2</v>
      </c>
      <c r="F1007" t="s">
        <v>19</v>
      </c>
      <c r="G1007" t="s">
        <v>20</v>
      </c>
      <c r="H1007" t="s">
        <v>15</v>
      </c>
      <c r="I1007">
        <v>1</v>
      </c>
      <c r="J1007" t="s">
        <v>26</v>
      </c>
      <c r="K1007" t="s">
        <v>17</v>
      </c>
      <c r="L1007">
        <v>35</v>
      </c>
      <c r="M1007" t="str">
        <f t="shared" si="15"/>
        <v>Middle Age</v>
      </c>
      <c r="N1007" t="s">
        <v>15</v>
      </c>
    </row>
    <row r="1008" spans="1:14" x14ac:dyDescent="0.3">
      <c r="A1008">
        <v>23542</v>
      </c>
      <c r="B1008" t="s">
        <v>38</v>
      </c>
      <c r="C1008" t="s">
        <v>39</v>
      </c>
      <c r="D1008" s="1">
        <v>60000</v>
      </c>
      <c r="E1008">
        <v>1</v>
      </c>
      <c r="F1008" t="s">
        <v>19</v>
      </c>
      <c r="G1008" t="s">
        <v>14</v>
      </c>
      <c r="H1008" t="s">
        <v>18</v>
      </c>
      <c r="I1008">
        <v>1</v>
      </c>
      <c r="J1008" t="s">
        <v>16</v>
      </c>
      <c r="K1008" t="s">
        <v>24</v>
      </c>
      <c r="L1008">
        <v>45</v>
      </c>
      <c r="M1008" t="str">
        <f t="shared" si="15"/>
        <v>Middle Age</v>
      </c>
      <c r="N1008" t="s">
        <v>15</v>
      </c>
    </row>
    <row r="1009" spans="1:14" x14ac:dyDescent="0.3">
      <c r="A1009">
        <v>20870</v>
      </c>
      <c r="B1009" t="s">
        <v>38</v>
      </c>
      <c r="C1009" t="s">
        <v>40</v>
      </c>
      <c r="D1009" s="1">
        <v>10000</v>
      </c>
      <c r="E1009">
        <v>2</v>
      </c>
      <c r="F1009" t="s">
        <v>27</v>
      </c>
      <c r="G1009" t="s">
        <v>25</v>
      </c>
      <c r="H1009" t="s">
        <v>15</v>
      </c>
      <c r="I1009">
        <v>1</v>
      </c>
      <c r="J1009" t="s">
        <v>16</v>
      </c>
      <c r="K1009" t="s">
        <v>17</v>
      </c>
      <c r="L1009">
        <v>38</v>
      </c>
      <c r="M1009" t="str">
        <f t="shared" si="15"/>
        <v>Middle Age</v>
      </c>
      <c r="N1009" t="s">
        <v>15</v>
      </c>
    </row>
    <row r="1010" spans="1:14" x14ac:dyDescent="0.3">
      <c r="A1010">
        <v>23316</v>
      </c>
      <c r="B1010" t="s">
        <v>38</v>
      </c>
      <c r="C1010" t="s">
        <v>39</v>
      </c>
      <c r="D1010" s="1">
        <v>30000</v>
      </c>
      <c r="E1010">
        <v>3</v>
      </c>
      <c r="F1010" t="s">
        <v>19</v>
      </c>
      <c r="G1010" t="s">
        <v>20</v>
      </c>
      <c r="H1010" t="s">
        <v>18</v>
      </c>
      <c r="I1010">
        <v>2</v>
      </c>
      <c r="J1010" t="s">
        <v>26</v>
      </c>
      <c r="K1010" t="s">
        <v>24</v>
      </c>
      <c r="L1010">
        <v>59</v>
      </c>
      <c r="M1010" t="str">
        <f t="shared" si="15"/>
        <v>OLD</v>
      </c>
      <c r="N1010" t="s">
        <v>15</v>
      </c>
    </row>
    <row r="1011" spans="1:14" x14ac:dyDescent="0.3">
      <c r="A1011">
        <v>12610</v>
      </c>
      <c r="B1011" t="s">
        <v>37</v>
      </c>
      <c r="C1011" t="s">
        <v>40</v>
      </c>
      <c r="D1011" s="1">
        <v>30000</v>
      </c>
      <c r="E1011">
        <v>1</v>
      </c>
      <c r="F1011" t="s">
        <v>13</v>
      </c>
      <c r="G1011" t="s">
        <v>20</v>
      </c>
      <c r="H1011" t="s">
        <v>15</v>
      </c>
      <c r="I1011">
        <v>0</v>
      </c>
      <c r="J1011" t="s">
        <v>16</v>
      </c>
      <c r="K1011" t="s">
        <v>17</v>
      </c>
      <c r="L1011">
        <v>47</v>
      </c>
      <c r="M1011" t="str">
        <f t="shared" si="15"/>
        <v>Middle Age</v>
      </c>
      <c r="N1011" t="s">
        <v>18</v>
      </c>
    </row>
    <row r="1012" spans="1:14" x14ac:dyDescent="0.3">
      <c r="A1012">
        <v>27183</v>
      </c>
      <c r="B1012" t="s">
        <v>38</v>
      </c>
      <c r="C1012" t="s">
        <v>39</v>
      </c>
      <c r="D1012" s="1">
        <v>40000</v>
      </c>
      <c r="E1012">
        <v>2</v>
      </c>
      <c r="F1012" t="s">
        <v>19</v>
      </c>
      <c r="G1012" t="s">
        <v>20</v>
      </c>
      <c r="H1012" t="s">
        <v>15</v>
      </c>
      <c r="I1012">
        <v>1</v>
      </c>
      <c r="J1012" t="s">
        <v>26</v>
      </c>
      <c r="K1012" t="s">
        <v>17</v>
      </c>
      <c r="L1012">
        <v>35</v>
      </c>
      <c r="M1012" t="str">
        <f t="shared" si="15"/>
        <v>Middle Age</v>
      </c>
      <c r="N1012" t="s">
        <v>15</v>
      </c>
    </row>
    <row r="1013" spans="1:14" x14ac:dyDescent="0.3">
      <c r="A1013">
        <v>25940</v>
      </c>
      <c r="B1013" t="s">
        <v>38</v>
      </c>
      <c r="C1013" t="s">
        <v>39</v>
      </c>
      <c r="D1013" s="1">
        <v>20000</v>
      </c>
      <c r="E1013">
        <v>2</v>
      </c>
      <c r="F1013" t="s">
        <v>29</v>
      </c>
      <c r="G1013" t="s">
        <v>20</v>
      </c>
      <c r="H1013" t="s">
        <v>15</v>
      </c>
      <c r="I1013">
        <v>2</v>
      </c>
      <c r="J1013" t="s">
        <v>23</v>
      </c>
      <c r="K1013" t="s">
        <v>24</v>
      </c>
      <c r="L1013">
        <v>55</v>
      </c>
      <c r="M1013" t="str">
        <f t="shared" si="15"/>
        <v>Middle Age</v>
      </c>
      <c r="N1013" t="s">
        <v>15</v>
      </c>
    </row>
    <row r="1014" spans="1:14" x14ac:dyDescent="0.3">
      <c r="A1014">
        <v>25598</v>
      </c>
      <c r="B1014" t="s">
        <v>37</v>
      </c>
      <c r="C1014" t="s">
        <v>40</v>
      </c>
      <c r="D1014" s="1">
        <v>40000</v>
      </c>
      <c r="E1014">
        <v>0</v>
      </c>
      <c r="F1014" t="s">
        <v>31</v>
      </c>
      <c r="G1014" t="s">
        <v>20</v>
      </c>
      <c r="H1014" t="s">
        <v>15</v>
      </c>
      <c r="I1014">
        <v>0</v>
      </c>
      <c r="J1014" t="s">
        <v>16</v>
      </c>
      <c r="K1014" t="s">
        <v>17</v>
      </c>
      <c r="L1014">
        <v>36</v>
      </c>
      <c r="M1014" t="str">
        <f t="shared" si="15"/>
        <v>Middle Age</v>
      </c>
      <c r="N1014" t="s">
        <v>15</v>
      </c>
    </row>
    <row r="1015" spans="1:14" x14ac:dyDescent="0.3">
      <c r="A1015">
        <v>21564</v>
      </c>
      <c r="B1015" t="s">
        <v>38</v>
      </c>
      <c r="C1015" t="s">
        <v>40</v>
      </c>
      <c r="D1015" s="1">
        <v>80000</v>
      </c>
      <c r="E1015">
        <v>0</v>
      </c>
      <c r="F1015" t="s">
        <v>13</v>
      </c>
      <c r="G1015" t="s">
        <v>21</v>
      </c>
      <c r="H1015" t="s">
        <v>15</v>
      </c>
      <c r="I1015">
        <v>4</v>
      </c>
      <c r="J1015" t="s">
        <v>50</v>
      </c>
      <c r="K1015" t="s">
        <v>24</v>
      </c>
      <c r="L1015">
        <v>35</v>
      </c>
      <c r="M1015" t="str">
        <f t="shared" si="15"/>
        <v>Middle Age</v>
      </c>
      <c r="N1015" t="s">
        <v>18</v>
      </c>
    </row>
    <row r="1016" spans="1:14" x14ac:dyDescent="0.3">
      <c r="A1016">
        <v>19193</v>
      </c>
      <c r="B1016" t="s">
        <v>38</v>
      </c>
      <c r="C1016" t="s">
        <v>39</v>
      </c>
      <c r="D1016" s="1">
        <v>40000</v>
      </c>
      <c r="E1016">
        <v>2</v>
      </c>
      <c r="F1016" t="s">
        <v>19</v>
      </c>
      <c r="G1016" t="s">
        <v>20</v>
      </c>
      <c r="H1016" t="s">
        <v>15</v>
      </c>
      <c r="I1016">
        <v>0</v>
      </c>
      <c r="J1016" t="s">
        <v>26</v>
      </c>
      <c r="K1016" t="s">
        <v>17</v>
      </c>
      <c r="L1016">
        <v>35</v>
      </c>
      <c r="M1016" t="str">
        <f t="shared" si="15"/>
        <v>Middle Age</v>
      </c>
      <c r="N1016" t="s">
        <v>15</v>
      </c>
    </row>
    <row r="1017" spans="1:14" x14ac:dyDescent="0.3">
      <c r="A1017">
        <v>26412</v>
      </c>
      <c r="B1017" t="s">
        <v>37</v>
      </c>
      <c r="C1017" t="s">
        <v>40</v>
      </c>
      <c r="D1017" s="1">
        <v>80000</v>
      </c>
      <c r="E1017">
        <v>5</v>
      </c>
      <c r="F1017" t="s">
        <v>27</v>
      </c>
      <c r="G1017" t="s">
        <v>28</v>
      </c>
      <c r="H1017" t="s">
        <v>18</v>
      </c>
      <c r="I1017">
        <v>3</v>
      </c>
      <c r="J1017" t="s">
        <v>23</v>
      </c>
      <c r="K1017" t="s">
        <v>17</v>
      </c>
      <c r="L1017">
        <v>56</v>
      </c>
      <c r="M1017" t="str">
        <f t="shared" si="15"/>
        <v>OLD</v>
      </c>
      <c r="N1017" t="s">
        <v>18</v>
      </c>
    </row>
    <row r="1018" spans="1:14" x14ac:dyDescent="0.3">
      <c r="A1018">
        <v>27184</v>
      </c>
      <c r="B1018" t="s">
        <v>38</v>
      </c>
      <c r="C1018" t="s">
        <v>39</v>
      </c>
      <c r="D1018" s="1">
        <v>40000</v>
      </c>
      <c r="E1018">
        <v>2</v>
      </c>
      <c r="F1018" t="s">
        <v>19</v>
      </c>
      <c r="G1018" t="s">
        <v>20</v>
      </c>
      <c r="H1018" t="s">
        <v>18</v>
      </c>
      <c r="I1018">
        <v>1</v>
      </c>
      <c r="J1018" t="s">
        <v>16</v>
      </c>
      <c r="K1018" t="s">
        <v>17</v>
      </c>
      <c r="L1018">
        <v>34</v>
      </c>
      <c r="M1018" t="str">
        <f t="shared" si="15"/>
        <v>Middle Age</v>
      </c>
      <c r="N1018" t="s">
        <v>18</v>
      </c>
    </row>
    <row r="1019" spans="1:14" x14ac:dyDescent="0.3">
      <c r="A1019">
        <v>12590</v>
      </c>
      <c r="B1019" t="s">
        <v>38</v>
      </c>
      <c r="C1019" t="s">
        <v>39</v>
      </c>
      <c r="D1019" s="1">
        <v>30000</v>
      </c>
      <c r="E1019">
        <v>1</v>
      </c>
      <c r="F1019" t="s">
        <v>13</v>
      </c>
      <c r="G1019" t="s">
        <v>20</v>
      </c>
      <c r="H1019" t="s">
        <v>15</v>
      </c>
      <c r="I1019">
        <v>0</v>
      </c>
      <c r="J1019" t="s">
        <v>16</v>
      </c>
      <c r="K1019" t="s">
        <v>17</v>
      </c>
      <c r="L1019">
        <v>63</v>
      </c>
      <c r="M1019" t="str">
        <f t="shared" si="15"/>
        <v>OLD</v>
      </c>
      <c r="N1019" t="s">
        <v>18</v>
      </c>
    </row>
    <row r="1020" spans="1:14" x14ac:dyDescent="0.3">
      <c r="A1020">
        <v>17841</v>
      </c>
      <c r="B1020" t="s">
        <v>38</v>
      </c>
      <c r="C1020" t="s">
        <v>39</v>
      </c>
      <c r="D1020" s="1">
        <v>30000</v>
      </c>
      <c r="E1020">
        <v>0</v>
      </c>
      <c r="F1020" t="s">
        <v>19</v>
      </c>
      <c r="G1020" t="s">
        <v>20</v>
      </c>
      <c r="H1020" t="s">
        <v>18</v>
      </c>
      <c r="I1020">
        <v>1</v>
      </c>
      <c r="J1020" t="s">
        <v>16</v>
      </c>
      <c r="K1020" t="s">
        <v>17</v>
      </c>
      <c r="L1020">
        <v>29</v>
      </c>
      <c r="M1020" t="str">
        <f t="shared" si="15"/>
        <v>Adolesent</v>
      </c>
      <c r="N1020" t="s">
        <v>15</v>
      </c>
    </row>
    <row r="1021" spans="1:14" x14ac:dyDescent="0.3">
      <c r="A1021">
        <v>18283</v>
      </c>
      <c r="B1021" t="s">
        <v>38</v>
      </c>
      <c r="C1021" t="s">
        <v>40</v>
      </c>
      <c r="D1021" s="1">
        <v>100000</v>
      </c>
      <c r="E1021">
        <v>0</v>
      </c>
      <c r="F1021" t="s">
        <v>13</v>
      </c>
      <c r="G1021" t="s">
        <v>21</v>
      </c>
      <c r="H1021" t="s">
        <v>18</v>
      </c>
      <c r="I1021">
        <v>1</v>
      </c>
      <c r="J1021" t="s">
        <v>23</v>
      </c>
      <c r="K1021" t="s">
        <v>24</v>
      </c>
      <c r="L1021">
        <v>40</v>
      </c>
      <c r="M1021" t="str">
        <f t="shared" si="15"/>
        <v>Middle Age</v>
      </c>
      <c r="N1021" t="s">
        <v>18</v>
      </c>
    </row>
    <row r="1022" spans="1:14" x14ac:dyDescent="0.3">
      <c r="A1022">
        <v>18299</v>
      </c>
      <c r="B1022" t="s">
        <v>37</v>
      </c>
      <c r="C1022" t="s">
        <v>39</v>
      </c>
      <c r="D1022" s="1">
        <v>70000</v>
      </c>
      <c r="E1022">
        <v>5</v>
      </c>
      <c r="F1022" t="s">
        <v>19</v>
      </c>
      <c r="G1022" t="s">
        <v>14</v>
      </c>
      <c r="H1022" t="s">
        <v>15</v>
      </c>
      <c r="I1022">
        <v>2</v>
      </c>
      <c r="J1022" t="s">
        <v>23</v>
      </c>
      <c r="K1022" t="s">
        <v>24</v>
      </c>
      <c r="L1022">
        <v>44</v>
      </c>
      <c r="M1022" t="str">
        <f t="shared" si="15"/>
        <v>Middle Age</v>
      </c>
      <c r="N1022" t="s">
        <v>18</v>
      </c>
    </row>
    <row r="1023" spans="1:14" x14ac:dyDescent="0.3">
      <c r="A1023">
        <v>16466</v>
      </c>
      <c r="B1023" t="s">
        <v>38</v>
      </c>
      <c r="C1023" t="s">
        <v>40</v>
      </c>
      <c r="D1023" s="1">
        <v>20000</v>
      </c>
      <c r="E1023">
        <v>0</v>
      </c>
      <c r="F1023" t="s">
        <v>29</v>
      </c>
      <c r="G1023" t="s">
        <v>25</v>
      </c>
      <c r="H1023" t="s">
        <v>18</v>
      </c>
      <c r="I1023">
        <v>2</v>
      </c>
      <c r="J1023" t="s">
        <v>16</v>
      </c>
      <c r="K1023" t="s">
        <v>17</v>
      </c>
      <c r="L1023">
        <v>32</v>
      </c>
      <c r="M1023" t="str">
        <f t="shared" si="15"/>
        <v>Middle Age</v>
      </c>
      <c r="N1023" t="s">
        <v>15</v>
      </c>
    </row>
    <row r="1024" spans="1:14" x14ac:dyDescent="0.3">
      <c r="A1024">
        <v>19273</v>
      </c>
      <c r="B1024" t="s">
        <v>37</v>
      </c>
      <c r="C1024" t="s">
        <v>40</v>
      </c>
      <c r="D1024" s="1">
        <v>20000</v>
      </c>
      <c r="E1024">
        <v>2</v>
      </c>
      <c r="F1024" t="s">
        <v>19</v>
      </c>
      <c r="G1024" t="s">
        <v>25</v>
      </c>
      <c r="H1024" t="s">
        <v>15</v>
      </c>
      <c r="I1024">
        <v>0</v>
      </c>
      <c r="J1024" t="s">
        <v>16</v>
      </c>
      <c r="K1024" t="s">
        <v>17</v>
      </c>
      <c r="L1024">
        <v>63</v>
      </c>
      <c r="M1024" t="str">
        <f t="shared" si="15"/>
        <v>OLD</v>
      </c>
      <c r="N1024" t="s">
        <v>18</v>
      </c>
    </row>
    <row r="1025" spans="1:14" x14ac:dyDescent="0.3">
      <c r="A1025">
        <v>22400</v>
      </c>
      <c r="B1025" t="s">
        <v>37</v>
      </c>
      <c r="C1025" t="s">
        <v>39</v>
      </c>
      <c r="D1025" s="1">
        <v>10000</v>
      </c>
      <c r="E1025">
        <v>0</v>
      </c>
      <c r="F1025" t="s">
        <v>19</v>
      </c>
      <c r="G1025" t="s">
        <v>25</v>
      </c>
      <c r="H1025" t="s">
        <v>18</v>
      </c>
      <c r="I1025">
        <v>1</v>
      </c>
      <c r="J1025" t="s">
        <v>16</v>
      </c>
      <c r="K1025" t="s">
        <v>24</v>
      </c>
      <c r="L1025">
        <v>26</v>
      </c>
      <c r="M1025" t="str">
        <f t="shared" si="15"/>
        <v>Adolesent</v>
      </c>
      <c r="N1025" t="s">
        <v>15</v>
      </c>
    </row>
    <row r="1026" spans="1:14" x14ac:dyDescent="0.3">
      <c r="A1026">
        <v>20942</v>
      </c>
      <c r="B1026" t="s">
        <v>38</v>
      </c>
      <c r="C1026" t="s">
        <v>40</v>
      </c>
      <c r="D1026" s="1">
        <v>20000</v>
      </c>
      <c r="E1026">
        <v>0</v>
      </c>
      <c r="F1026" t="s">
        <v>27</v>
      </c>
      <c r="G1026" t="s">
        <v>25</v>
      </c>
      <c r="H1026" t="s">
        <v>18</v>
      </c>
      <c r="I1026">
        <v>1</v>
      </c>
      <c r="J1026" t="s">
        <v>23</v>
      </c>
      <c r="K1026" t="s">
        <v>17</v>
      </c>
      <c r="L1026">
        <v>31</v>
      </c>
      <c r="M1026" t="str">
        <f t="shared" si="15"/>
        <v>Middle Age</v>
      </c>
      <c r="N1026" t="s">
        <v>18</v>
      </c>
    </row>
    <row r="1027" spans="1:14" x14ac:dyDescent="0.3">
      <c r="A1027">
        <v>18484</v>
      </c>
      <c r="B1027" t="s">
        <v>38</v>
      </c>
      <c r="C1027" t="s">
        <v>39</v>
      </c>
      <c r="D1027" s="1">
        <v>80000</v>
      </c>
      <c r="E1027">
        <v>2</v>
      </c>
      <c r="F1027" t="s">
        <v>27</v>
      </c>
      <c r="G1027" t="s">
        <v>14</v>
      </c>
      <c r="H1027" t="s">
        <v>18</v>
      </c>
      <c r="I1027">
        <v>2</v>
      </c>
      <c r="J1027" t="s">
        <v>26</v>
      </c>
      <c r="K1027" t="s">
        <v>24</v>
      </c>
      <c r="L1027">
        <v>50</v>
      </c>
      <c r="M1027" t="str">
        <f t="shared" ref="M1027" si="16">IF(L1027&gt;55,"OLD",IF(L1027&gt;=31,"Middle Age",IF(L1027&lt;31,"Adolesent","Invalid")))</f>
        <v>Middle Age</v>
      </c>
      <c r="N1027"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2068C-931E-4AF8-895C-E5D39698C566}">
  <dimension ref="A3:I174"/>
  <sheetViews>
    <sheetView topLeftCell="A102" zoomScale="57" zoomScaleNormal="57" workbookViewId="0">
      <selection activeCell="BH30" sqref="BH30"/>
    </sheetView>
  </sheetViews>
  <sheetFormatPr defaultRowHeight="14.4" x14ac:dyDescent="0.3"/>
  <cols>
    <col min="1" max="1" width="29" bestFit="1" customWidth="1"/>
    <col min="2" max="2" width="21.5546875" bestFit="1" customWidth="1"/>
    <col min="3" max="3" width="5.77734375" bestFit="1" customWidth="1"/>
    <col min="4" max="4" width="14.33203125" bestFit="1" customWidth="1"/>
    <col min="5" max="5" width="12" bestFit="1" customWidth="1"/>
    <col min="8" max="8" width="17.88671875" bestFit="1" customWidth="1"/>
    <col min="9" max="9" width="19.77734375" bestFit="1" customWidth="1"/>
  </cols>
  <sheetData>
    <row r="3" spans="1:5" x14ac:dyDescent="0.3">
      <c r="A3" s="4" t="s">
        <v>45</v>
      </c>
      <c r="B3" s="4" t="s">
        <v>46</v>
      </c>
    </row>
    <row r="4" spans="1:5" x14ac:dyDescent="0.3">
      <c r="A4" s="4" t="s">
        <v>41</v>
      </c>
      <c r="B4" t="s">
        <v>18</v>
      </c>
      <c r="C4" t="s">
        <v>15</v>
      </c>
      <c r="D4" t="s">
        <v>44</v>
      </c>
      <c r="E4" t="s">
        <v>42</v>
      </c>
    </row>
    <row r="5" spans="1:5" x14ac:dyDescent="0.3">
      <c r="A5" s="5" t="s">
        <v>40</v>
      </c>
      <c r="B5" s="6">
        <v>53449.612403100778</v>
      </c>
      <c r="C5" s="6">
        <v>55267.489711934155</v>
      </c>
      <c r="D5" s="6"/>
      <c r="E5" s="6">
        <v>54331.337325349305</v>
      </c>
    </row>
    <row r="6" spans="1:5" x14ac:dyDescent="0.3">
      <c r="A6" s="5" t="s">
        <v>39</v>
      </c>
      <c r="B6" s="6">
        <v>56520.146520146518</v>
      </c>
      <c r="C6" s="6">
        <v>59603.174603174601</v>
      </c>
      <c r="D6" s="6"/>
      <c r="E6" s="6">
        <v>58000</v>
      </c>
    </row>
    <row r="7" spans="1:5" x14ac:dyDescent="0.3">
      <c r="A7" s="5" t="s">
        <v>44</v>
      </c>
      <c r="B7" s="6"/>
      <c r="C7" s="6"/>
      <c r="D7" s="6"/>
      <c r="E7" s="6"/>
    </row>
    <row r="8" spans="1:5" x14ac:dyDescent="0.3">
      <c r="A8" s="5" t="s">
        <v>42</v>
      </c>
      <c r="B8" s="6">
        <v>55028.248587570619</v>
      </c>
      <c r="C8" s="6">
        <v>57474.747474747477</v>
      </c>
      <c r="D8" s="6"/>
      <c r="E8" s="6">
        <v>56208.576998050681</v>
      </c>
    </row>
    <row r="22" spans="1:4" x14ac:dyDescent="0.3">
      <c r="A22" s="4" t="s">
        <v>49</v>
      </c>
      <c r="B22" s="4" t="s">
        <v>46</v>
      </c>
    </row>
    <row r="23" spans="1:4" x14ac:dyDescent="0.3">
      <c r="A23" s="4" t="s">
        <v>41</v>
      </c>
      <c r="B23" t="s">
        <v>18</v>
      </c>
      <c r="C23" t="s">
        <v>15</v>
      </c>
      <c r="D23" t="s">
        <v>42</v>
      </c>
    </row>
    <row r="24" spans="1:4" x14ac:dyDescent="0.3">
      <c r="A24" s="5" t="s">
        <v>16</v>
      </c>
      <c r="B24" s="3">
        <v>3</v>
      </c>
      <c r="C24" s="3">
        <v>6</v>
      </c>
      <c r="D24" s="3">
        <v>9</v>
      </c>
    </row>
    <row r="25" spans="1:4" x14ac:dyDescent="0.3">
      <c r="A25" s="5" t="s">
        <v>26</v>
      </c>
      <c r="B25" s="3">
        <v>5</v>
      </c>
      <c r="C25" s="3">
        <v>5</v>
      </c>
      <c r="D25" s="3">
        <v>10</v>
      </c>
    </row>
    <row r="26" spans="1:4" x14ac:dyDescent="0.3">
      <c r="A26" s="5" t="s">
        <v>22</v>
      </c>
      <c r="B26" s="3">
        <v>1</v>
      </c>
      <c r="C26" s="3">
        <v>5</v>
      </c>
      <c r="D26" s="3">
        <v>6</v>
      </c>
    </row>
    <row r="27" spans="1:4" x14ac:dyDescent="0.3">
      <c r="A27" s="5" t="s">
        <v>23</v>
      </c>
      <c r="B27" s="3">
        <v>4</v>
      </c>
      <c r="C27" s="3">
        <v>6</v>
      </c>
      <c r="D27" s="3">
        <v>10</v>
      </c>
    </row>
    <row r="28" spans="1:4" x14ac:dyDescent="0.3">
      <c r="A28" s="5" t="s">
        <v>50</v>
      </c>
      <c r="B28" s="3">
        <v>7</v>
      </c>
      <c r="C28" s="3">
        <v>5</v>
      </c>
      <c r="D28" s="3">
        <v>12</v>
      </c>
    </row>
    <row r="29" spans="1:4" x14ac:dyDescent="0.3">
      <c r="A29" s="5" t="s">
        <v>42</v>
      </c>
      <c r="B29" s="3">
        <v>20</v>
      </c>
      <c r="C29" s="3">
        <v>27</v>
      </c>
      <c r="D29" s="3">
        <v>47</v>
      </c>
    </row>
    <row r="39" spans="1:4" x14ac:dyDescent="0.3">
      <c r="A39" s="4" t="s">
        <v>49</v>
      </c>
      <c r="B39" s="4" t="s">
        <v>46</v>
      </c>
    </row>
    <row r="40" spans="1:4" x14ac:dyDescent="0.3">
      <c r="A40" s="4" t="s">
        <v>41</v>
      </c>
      <c r="B40" t="s">
        <v>18</v>
      </c>
      <c r="C40" t="s">
        <v>15</v>
      </c>
      <c r="D40" t="s">
        <v>42</v>
      </c>
    </row>
    <row r="41" spans="1:4" x14ac:dyDescent="0.3">
      <c r="A41" s="5" t="s">
        <v>47</v>
      </c>
      <c r="B41" s="3">
        <v>8</v>
      </c>
      <c r="C41" s="3">
        <v>15</v>
      </c>
      <c r="D41" s="3">
        <v>23</v>
      </c>
    </row>
    <row r="42" spans="1:4" x14ac:dyDescent="0.3">
      <c r="A42" s="5" t="s">
        <v>48</v>
      </c>
      <c r="B42" s="3">
        <v>12</v>
      </c>
      <c r="C42" s="3">
        <v>12</v>
      </c>
      <c r="D42" s="3">
        <v>24</v>
      </c>
    </row>
    <row r="43" spans="1:4" x14ac:dyDescent="0.3">
      <c r="A43" s="5" t="s">
        <v>42</v>
      </c>
      <c r="B43" s="3">
        <v>20</v>
      </c>
      <c r="C43" s="3">
        <v>27</v>
      </c>
      <c r="D43" s="3">
        <v>47</v>
      </c>
    </row>
    <row r="56" spans="1:4" x14ac:dyDescent="0.3">
      <c r="A56" s="4" t="s">
        <v>49</v>
      </c>
      <c r="B56" s="4" t="s">
        <v>46</v>
      </c>
    </row>
    <row r="57" spans="1:4" x14ac:dyDescent="0.3">
      <c r="A57" s="4" t="s">
        <v>41</v>
      </c>
      <c r="B57" t="s">
        <v>18</v>
      </c>
      <c r="C57" t="s">
        <v>15</v>
      </c>
      <c r="D57" t="s">
        <v>42</v>
      </c>
    </row>
    <row r="58" spans="1:4" x14ac:dyDescent="0.3">
      <c r="A58" s="5" t="s">
        <v>13</v>
      </c>
      <c r="B58" s="3">
        <v>12</v>
      </c>
      <c r="C58" s="3">
        <v>18</v>
      </c>
      <c r="D58" s="3">
        <v>30</v>
      </c>
    </row>
    <row r="59" spans="1:4" x14ac:dyDescent="0.3">
      <c r="A59" s="5" t="s">
        <v>31</v>
      </c>
      <c r="B59" s="3">
        <v>8</v>
      </c>
      <c r="C59" s="3">
        <v>9</v>
      </c>
      <c r="D59" s="3">
        <v>17</v>
      </c>
    </row>
    <row r="60" spans="1:4" x14ac:dyDescent="0.3">
      <c r="A60" s="5" t="s">
        <v>42</v>
      </c>
      <c r="B60" s="3">
        <v>20</v>
      </c>
      <c r="C60" s="3">
        <v>27</v>
      </c>
      <c r="D60" s="3">
        <v>47</v>
      </c>
    </row>
    <row r="73" spans="1:4" x14ac:dyDescent="0.3">
      <c r="A73" s="4" t="s">
        <v>49</v>
      </c>
      <c r="B73" s="4" t="s">
        <v>46</v>
      </c>
    </row>
    <row r="74" spans="1:4" x14ac:dyDescent="0.3">
      <c r="A74" s="4" t="s">
        <v>41</v>
      </c>
      <c r="B74" t="s">
        <v>18</v>
      </c>
      <c r="C74" t="s">
        <v>15</v>
      </c>
      <c r="D74" t="s">
        <v>42</v>
      </c>
    </row>
    <row r="75" spans="1:4" x14ac:dyDescent="0.3">
      <c r="A75" s="5" t="s">
        <v>28</v>
      </c>
      <c r="B75" s="3">
        <v>20</v>
      </c>
      <c r="C75" s="3">
        <v>27</v>
      </c>
      <c r="D75" s="3">
        <v>47</v>
      </c>
    </row>
    <row r="76" spans="1:4" x14ac:dyDescent="0.3">
      <c r="A76" s="5" t="s">
        <v>42</v>
      </c>
      <c r="B76" s="3">
        <v>20</v>
      </c>
      <c r="C76" s="3">
        <v>27</v>
      </c>
      <c r="D76" s="3">
        <v>47</v>
      </c>
    </row>
    <row r="91" spans="1:4" x14ac:dyDescent="0.3">
      <c r="A91" s="4" t="s">
        <v>49</v>
      </c>
      <c r="B91" s="4" t="s">
        <v>46</v>
      </c>
    </row>
    <row r="92" spans="1:4" x14ac:dyDescent="0.3">
      <c r="A92" s="4" t="s">
        <v>41</v>
      </c>
      <c r="B92" t="s">
        <v>18</v>
      </c>
      <c r="C92" t="s">
        <v>15</v>
      </c>
      <c r="D92" t="s">
        <v>42</v>
      </c>
    </row>
    <row r="93" spans="1:4" x14ac:dyDescent="0.3">
      <c r="A93" s="5">
        <v>0</v>
      </c>
      <c r="B93" s="3"/>
      <c r="C93" s="3">
        <v>5</v>
      </c>
      <c r="D93" s="3">
        <v>5</v>
      </c>
    </row>
    <row r="94" spans="1:4" x14ac:dyDescent="0.3">
      <c r="A94" s="5">
        <v>1</v>
      </c>
      <c r="B94" s="3">
        <v>4</v>
      </c>
      <c r="C94" s="3">
        <v>2</v>
      </c>
      <c r="D94" s="3">
        <v>6</v>
      </c>
    </row>
    <row r="95" spans="1:4" x14ac:dyDescent="0.3">
      <c r="A95" s="5">
        <v>2</v>
      </c>
      <c r="B95" s="3">
        <v>5</v>
      </c>
      <c r="C95" s="3">
        <v>5</v>
      </c>
      <c r="D95" s="3">
        <v>10</v>
      </c>
    </row>
    <row r="96" spans="1:4" x14ac:dyDescent="0.3">
      <c r="A96" s="5">
        <v>3</v>
      </c>
      <c r="B96" s="3">
        <v>6</v>
      </c>
      <c r="C96" s="3">
        <v>5</v>
      </c>
      <c r="D96" s="3">
        <v>11</v>
      </c>
    </row>
    <row r="97" spans="1:4" x14ac:dyDescent="0.3">
      <c r="A97" s="5">
        <v>4</v>
      </c>
      <c r="B97" s="3">
        <v>5</v>
      </c>
      <c r="C97" s="3">
        <v>6</v>
      </c>
      <c r="D97" s="3">
        <v>11</v>
      </c>
    </row>
    <row r="98" spans="1:4" x14ac:dyDescent="0.3">
      <c r="A98" s="5">
        <v>5</v>
      </c>
      <c r="B98" s="3"/>
      <c r="C98" s="3">
        <v>4</v>
      </c>
      <c r="D98" s="3">
        <v>4</v>
      </c>
    </row>
    <row r="99" spans="1:4" x14ac:dyDescent="0.3">
      <c r="A99" s="5" t="s">
        <v>42</v>
      </c>
      <c r="B99" s="3">
        <v>20</v>
      </c>
      <c r="C99" s="3">
        <v>27</v>
      </c>
      <c r="D99" s="3">
        <v>47</v>
      </c>
    </row>
    <row r="107" spans="1:4" x14ac:dyDescent="0.3">
      <c r="A107" s="4" t="s">
        <v>49</v>
      </c>
      <c r="B107" s="4" t="s">
        <v>46</v>
      </c>
    </row>
    <row r="108" spans="1:4" x14ac:dyDescent="0.3">
      <c r="A108" s="4" t="s">
        <v>41</v>
      </c>
      <c r="B108" t="s">
        <v>18</v>
      </c>
      <c r="C108" t="s">
        <v>15</v>
      </c>
      <c r="D108" t="s">
        <v>42</v>
      </c>
    </row>
    <row r="109" spans="1:4" x14ac:dyDescent="0.3">
      <c r="A109" s="5" t="s">
        <v>18</v>
      </c>
      <c r="B109" s="3">
        <v>8</v>
      </c>
      <c r="C109" s="3">
        <v>10</v>
      </c>
      <c r="D109" s="3">
        <v>18</v>
      </c>
    </row>
    <row r="110" spans="1:4" x14ac:dyDescent="0.3">
      <c r="A110" s="5" t="s">
        <v>15</v>
      </c>
      <c r="B110" s="3">
        <v>12</v>
      </c>
      <c r="C110" s="3">
        <v>17</v>
      </c>
      <c r="D110" s="3">
        <v>29</v>
      </c>
    </row>
    <row r="111" spans="1:4" x14ac:dyDescent="0.3">
      <c r="A111" s="5" t="s">
        <v>42</v>
      </c>
      <c r="B111" s="3">
        <v>20</v>
      </c>
      <c r="C111" s="3">
        <v>27</v>
      </c>
      <c r="D111" s="3">
        <v>47</v>
      </c>
    </row>
    <row r="123" spans="1:4" x14ac:dyDescent="0.3">
      <c r="A123" s="4" t="s">
        <v>49</v>
      </c>
      <c r="B123" s="4" t="s">
        <v>46</v>
      </c>
    </row>
    <row r="124" spans="1:4" x14ac:dyDescent="0.3">
      <c r="A124" s="4" t="s">
        <v>41</v>
      </c>
      <c r="B124" t="s">
        <v>18</v>
      </c>
      <c r="C124" t="s">
        <v>15</v>
      </c>
      <c r="D124" t="s">
        <v>42</v>
      </c>
    </row>
    <row r="125" spans="1:4" x14ac:dyDescent="0.3">
      <c r="A125" s="5">
        <v>0</v>
      </c>
      <c r="B125" s="3">
        <v>2</v>
      </c>
      <c r="C125" s="3">
        <v>1</v>
      </c>
      <c r="D125" s="3">
        <v>3</v>
      </c>
    </row>
    <row r="126" spans="1:4" x14ac:dyDescent="0.3">
      <c r="A126" s="5">
        <v>1</v>
      </c>
      <c r="B126" s="3">
        <v>4</v>
      </c>
      <c r="C126" s="3">
        <v>8</v>
      </c>
      <c r="D126" s="3">
        <v>12</v>
      </c>
    </row>
    <row r="127" spans="1:4" x14ac:dyDescent="0.3">
      <c r="A127" s="5">
        <v>2</v>
      </c>
      <c r="B127" s="3">
        <v>8</v>
      </c>
      <c r="C127" s="3">
        <v>9</v>
      </c>
      <c r="D127" s="3">
        <v>17</v>
      </c>
    </row>
    <row r="128" spans="1:4" x14ac:dyDescent="0.3">
      <c r="A128" s="5">
        <v>3</v>
      </c>
      <c r="B128" s="3">
        <v>1</v>
      </c>
      <c r="C128" s="3">
        <v>7</v>
      </c>
      <c r="D128" s="3">
        <v>8</v>
      </c>
    </row>
    <row r="129" spans="1:9" x14ac:dyDescent="0.3">
      <c r="A129" s="5">
        <v>4</v>
      </c>
      <c r="B129" s="3">
        <v>5</v>
      </c>
      <c r="C129" s="3">
        <v>2</v>
      </c>
      <c r="D129" s="3">
        <v>7</v>
      </c>
    </row>
    <row r="130" spans="1:9" x14ac:dyDescent="0.3">
      <c r="A130" s="5" t="s">
        <v>42</v>
      </c>
      <c r="B130" s="3">
        <v>20</v>
      </c>
      <c r="C130" s="3">
        <v>27</v>
      </c>
      <c r="D130" s="3">
        <v>47</v>
      </c>
    </row>
    <row r="140" spans="1:9" x14ac:dyDescent="0.3">
      <c r="A140" t="s">
        <v>51</v>
      </c>
      <c r="H140" t="s">
        <v>49</v>
      </c>
      <c r="I140" t="s">
        <v>45</v>
      </c>
    </row>
    <row r="141" spans="1:9" x14ac:dyDescent="0.3">
      <c r="H141" s="3">
        <v>1026</v>
      </c>
      <c r="I141" s="3">
        <v>56208.576998050681</v>
      </c>
    </row>
    <row r="144" spans="1:9" x14ac:dyDescent="0.3">
      <c r="H144" s="4" t="s">
        <v>41</v>
      </c>
      <c r="I144" t="s">
        <v>56</v>
      </c>
    </row>
    <row r="145" spans="1:9" x14ac:dyDescent="0.3">
      <c r="H145" s="5" t="s">
        <v>18</v>
      </c>
      <c r="I145" s="3">
        <v>19700.643564356436</v>
      </c>
    </row>
    <row r="146" spans="1:9" x14ac:dyDescent="0.3">
      <c r="H146" s="5" t="s">
        <v>15</v>
      </c>
      <c r="I146" s="3">
        <v>19711.232876712329</v>
      </c>
    </row>
    <row r="147" spans="1:9" x14ac:dyDescent="0.3">
      <c r="H147" s="5" t="s">
        <v>42</v>
      </c>
      <c r="I147" s="3">
        <v>19705.086206896551</v>
      </c>
    </row>
    <row r="148" spans="1:9" x14ac:dyDescent="0.3">
      <c r="A148" t="s">
        <v>52</v>
      </c>
    </row>
    <row r="149" spans="1:9" x14ac:dyDescent="0.3">
      <c r="A149" t="s">
        <v>53</v>
      </c>
    </row>
    <row r="150" spans="1:9" x14ac:dyDescent="0.3">
      <c r="A150" t="s">
        <v>54</v>
      </c>
    </row>
    <row r="151" spans="1:9" x14ac:dyDescent="0.3">
      <c r="A151" t="s">
        <v>55</v>
      </c>
    </row>
    <row r="156" spans="1:9" x14ac:dyDescent="0.3">
      <c r="A156" s="8"/>
      <c r="B156" s="9"/>
      <c r="C156" s="10"/>
    </row>
    <row r="157" spans="1:9" x14ac:dyDescent="0.3">
      <c r="A157" s="11"/>
      <c r="B157" s="12"/>
      <c r="C157" s="13"/>
    </row>
    <row r="158" spans="1:9" x14ac:dyDescent="0.3">
      <c r="A158" s="11"/>
      <c r="B158" s="12"/>
      <c r="C158" s="13"/>
    </row>
    <row r="159" spans="1:9" x14ac:dyDescent="0.3">
      <c r="A159" s="11"/>
      <c r="B159" s="12"/>
      <c r="C159" s="13"/>
    </row>
    <row r="160" spans="1:9" x14ac:dyDescent="0.3">
      <c r="A160" s="11"/>
      <c r="B160" s="12"/>
      <c r="C160" s="13"/>
    </row>
    <row r="161" spans="1:4" x14ac:dyDescent="0.3">
      <c r="A161" s="11"/>
      <c r="B161" s="12"/>
      <c r="C161" s="13"/>
    </row>
    <row r="162" spans="1:4" x14ac:dyDescent="0.3">
      <c r="A162" s="11"/>
      <c r="B162" s="12"/>
      <c r="C162" s="13"/>
    </row>
    <row r="163" spans="1:4" x14ac:dyDescent="0.3">
      <c r="A163" s="11"/>
      <c r="B163" s="12"/>
      <c r="C163" s="13"/>
    </row>
    <row r="164" spans="1:4" x14ac:dyDescent="0.3">
      <c r="A164" s="11"/>
      <c r="B164" s="12"/>
      <c r="C164" s="13"/>
    </row>
    <row r="165" spans="1:4" x14ac:dyDescent="0.3">
      <c r="A165" s="11"/>
      <c r="B165" s="12"/>
      <c r="C165" s="13"/>
    </row>
    <row r="166" spans="1:4" x14ac:dyDescent="0.3">
      <c r="A166" s="11"/>
      <c r="B166" s="12"/>
      <c r="C166" s="13"/>
    </row>
    <row r="167" spans="1:4" x14ac:dyDescent="0.3">
      <c r="A167" s="11"/>
      <c r="B167" s="12"/>
      <c r="C167" s="13"/>
    </row>
    <row r="168" spans="1:4" x14ac:dyDescent="0.3">
      <c r="A168" s="11"/>
      <c r="B168" s="12"/>
      <c r="C168" s="13"/>
    </row>
    <row r="169" spans="1:4" x14ac:dyDescent="0.3">
      <c r="A169" s="11"/>
      <c r="B169" s="12"/>
      <c r="C169" s="13"/>
    </row>
    <row r="170" spans="1:4" x14ac:dyDescent="0.3">
      <c r="A170" s="11"/>
      <c r="B170" s="12"/>
      <c r="C170" s="13"/>
    </row>
    <row r="171" spans="1:4" x14ac:dyDescent="0.3">
      <c r="A171" s="11"/>
      <c r="B171" s="12"/>
      <c r="C171" s="13"/>
    </row>
    <row r="172" spans="1:4" x14ac:dyDescent="0.3">
      <c r="A172" s="11"/>
      <c r="B172" s="12"/>
      <c r="C172" s="13"/>
    </row>
    <row r="173" spans="1:4" x14ac:dyDescent="0.3">
      <c r="A173" s="14"/>
      <c r="B173" s="15"/>
      <c r="C173" s="16"/>
    </row>
    <row r="174" spans="1:4" x14ac:dyDescent="0.3">
      <c r="D174" t="s">
        <v>57</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26A89-0D6C-467C-8655-BC43432F95DF}">
  <dimension ref="A1:P7"/>
  <sheetViews>
    <sheetView showGridLines="0" tabSelected="1" zoomScale="55" zoomScaleNormal="55" workbookViewId="0">
      <selection activeCell="BA52" sqref="BA52"/>
    </sheetView>
  </sheetViews>
  <sheetFormatPr defaultRowHeight="14.4" x14ac:dyDescent="0.3"/>
  <cols>
    <col min="1" max="1" width="7" customWidth="1"/>
    <col min="2" max="2" width="24" customWidth="1"/>
    <col min="3" max="3" width="5" customWidth="1"/>
  </cols>
  <sheetData>
    <row r="1" spans="1:16" x14ac:dyDescent="0.3">
      <c r="A1" s="7"/>
      <c r="B1" s="7"/>
      <c r="C1" s="7"/>
      <c r="D1" s="7"/>
      <c r="E1" s="7"/>
      <c r="F1" s="7"/>
      <c r="G1" s="7"/>
      <c r="H1" s="7"/>
      <c r="I1" s="7"/>
      <c r="J1" s="7"/>
      <c r="K1" s="7"/>
      <c r="L1" s="7"/>
      <c r="M1" s="7"/>
      <c r="N1" s="7"/>
      <c r="O1" s="7"/>
      <c r="P1" s="7"/>
    </row>
    <row r="2" spans="1:16" x14ac:dyDescent="0.3">
      <c r="A2" s="7"/>
      <c r="B2" s="7"/>
      <c r="C2" s="7"/>
      <c r="D2" s="7"/>
      <c r="E2" s="7"/>
      <c r="F2" s="7"/>
      <c r="G2" s="7"/>
      <c r="H2" s="7"/>
      <c r="I2" s="7"/>
      <c r="J2" s="7"/>
      <c r="K2" s="7"/>
      <c r="L2" s="7"/>
      <c r="M2" s="7"/>
      <c r="N2" s="7"/>
      <c r="O2" s="7"/>
      <c r="P2" s="7"/>
    </row>
    <row r="3" spans="1:16" x14ac:dyDescent="0.3">
      <c r="A3" s="7"/>
      <c r="B3" s="7"/>
      <c r="C3" s="7"/>
      <c r="D3" s="7"/>
      <c r="E3" s="7"/>
      <c r="F3" s="7"/>
      <c r="G3" s="7"/>
      <c r="H3" s="7"/>
      <c r="I3" s="7"/>
      <c r="J3" s="7"/>
      <c r="K3" s="7"/>
      <c r="L3" s="7"/>
      <c r="M3" s="7"/>
      <c r="N3" s="7"/>
      <c r="O3" s="7"/>
      <c r="P3" s="7"/>
    </row>
    <row r="4" spans="1:16" x14ac:dyDescent="0.3">
      <c r="A4" s="7"/>
      <c r="B4" s="7"/>
      <c r="C4" s="7"/>
      <c r="D4" s="7"/>
      <c r="E4" s="7"/>
      <c r="F4" s="7"/>
      <c r="G4" s="7"/>
      <c r="H4" s="7"/>
      <c r="I4" s="7"/>
      <c r="J4" s="7"/>
      <c r="K4" s="7"/>
      <c r="L4" s="7"/>
      <c r="M4" s="7"/>
      <c r="N4" s="7"/>
      <c r="O4" s="7"/>
      <c r="P4" s="7"/>
    </row>
    <row r="5" spans="1:16" x14ac:dyDescent="0.3">
      <c r="A5" s="7"/>
      <c r="B5" s="7"/>
      <c r="C5" s="7"/>
      <c r="D5" s="7"/>
      <c r="E5" s="7"/>
      <c r="F5" s="7"/>
      <c r="G5" s="7"/>
      <c r="H5" s="7"/>
      <c r="I5" s="7"/>
      <c r="J5" s="7"/>
      <c r="K5" s="7"/>
      <c r="L5" s="7"/>
      <c r="M5" s="7"/>
      <c r="N5" s="7"/>
      <c r="O5" s="7"/>
      <c r="P5" s="7"/>
    </row>
    <row r="6" spans="1:16" x14ac:dyDescent="0.3">
      <c r="A6" s="7"/>
      <c r="B6" s="7"/>
      <c r="C6" s="7"/>
      <c r="D6" s="7"/>
      <c r="E6" s="7"/>
      <c r="F6" s="7"/>
      <c r="G6" s="7"/>
      <c r="H6" s="7"/>
      <c r="I6" s="7"/>
      <c r="J6" s="7"/>
      <c r="K6" s="7"/>
      <c r="L6" s="7"/>
      <c r="M6" s="7"/>
      <c r="N6" s="7"/>
      <c r="O6" s="7"/>
      <c r="P6" s="7"/>
    </row>
    <row r="7" spans="1:16" x14ac:dyDescent="0.3">
      <c r="A7" s="7"/>
      <c r="B7" s="7"/>
      <c r="C7" s="7"/>
      <c r="D7" s="7"/>
      <c r="E7" s="7"/>
      <c r="F7" s="7"/>
      <c r="G7" s="7"/>
      <c r="H7" s="7"/>
      <c r="I7" s="7"/>
      <c r="J7" s="7"/>
      <c r="K7" s="7"/>
      <c r="L7" s="7"/>
      <c r="M7" s="7"/>
      <c r="N7" s="7"/>
      <c r="O7" s="7"/>
      <c r="P7"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Bikash Kumar</cp:lastModifiedBy>
  <dcterms:created xsi:type="dcterms:W3CDTF">2022-03-18T02:50:57Z</dcterms:created>
  <dcterms:modified xsi:type="dcterms:W3CDTF">2026-04-27T07:32:42Z</dcterms:modified>
</cp:coreProperties>
</file>